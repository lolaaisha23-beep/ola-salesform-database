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7ADEF1EE-9B71-40BF-9958-A8465FA7F592}" xr6:coauthVersionLast="47" xr6:coauthVersionMax="47" xr10:uidLastSave="{00000000-0000-0000-0000-000000000000}"/>
  <bookViews>
    <workbookView xWindow="-120" yWindow="-120" windowWidth="20730" windowHeight="11160" firstSheet="4" activeTab="7" xr2:uid="{ECA13426-1EC1-4058-8CF1-5880D03D30B2}"/>
  </bookViews>
  <sheets>
    <sheet name="Sheet1" sheetId="2" r:id="rId1"/>
    <sheet name="Aisha's week one assignment" sheetId="1" r:id="rId2"/>
    <sheet name="Table1" sheetId="3" r:id="rId3"/>
    <sheet name="EXCEL AUTOMATION" sheetId="4" r:id="rId4"/>
    <sheet name="SALES RECORD" sheetId="5" r:id="rId5"/>
    <sheet name="FORM" sheetId="7" r:id="rId6"/>
    <sheet name="DATABASE 4 FORM" sheetId="12" r:id="rId7"/>
    <sheet name="SALES FORM FOR MULTIPLE PRD" sheetId="11" r:id="rId8"/>
    <sheet name="DATABASE 2" sheetId="17" r:id="rId9"/>
  </sheets>
  <definedNames>
    <definedName name="ExternalData_1" localSheetId="2" hidden="1">Table1!$A$1:$F$552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1" l="1"/>
  <c r="H24" i="11"/>
  <c r="H22" i="11" s="1"/>
  <c r="O18" i="11" s="1"/>
  <c r="O22" i="11"/>
  <c r="H26" i="11" l="1"/>
  <c r="O19" i="11"/>
  <c r="O21" i="11"/>
  <c r="O20" i="11"/>
  <c r="O17" i="11"/>
  <c r="O16" i="11"/>
  <c r="O15" i="11"/>
  <c r="O14" i="11"/>
  <c r="O13" i="11"/>
  <c r="N13" i="7"/>
  <c r="N14" i="7"/>
  <c r="G22" i="7"/>
  <c r="N19" i="7"/>
  <c r="N18" i="7"/>
  <c r="N17" i="7"/>
  <c r="N16" i="7"/>
  <c r="N15" i="7"/>
  <c r="Q31" i="4"/>
  <c r="Q30" i="4"/>
  <c r="Q29" i="4"/>
  <c r="Q27" i="4"/>
  <c r="Q26" i="4"/>
  <c r="Q25" i="4"/>
  <c r="Q23" i="4"/>
  <c r="Q22" i="4"/>
  <c r="Q21" i="4"/>
  <c r="K27" i="4"/>
  <c r="Q24" i="4" s="1"/>
  <c r="K35" i="4"/>
  <c r="Q28" i="4" s="1"/>
  <c r="J6" i="1"/>
  <c r="G7" i="1"/>
  <c r="I7" i="1" s="1"/>
  <c r="H7" i="1" s="1"/>
  <c r="G8" i="1"/>
  <c r="I8" i="1" s="1"/>
  <c r="H8" i="1" s="1"/>
  <c r="G9" i="1"/>
  <c r="I9" i="1" s="1"/>
  <c r="H9" i="1" s="1"/>
  <c r="G10" i="1"/>
  <c r="I10" i="1" s="1"/>
  <c r="H10" i="1" s="1"/>
  <c r="G11" i="1"/>
  <c r="I11" i="1" s="1"/>
  <c r="H11" i="1" s="1"/>
  <c r="G12" i="1"/>
  <c r="I12" i="1" s="1"/>
  <c r="H12" i="1" s="1"/>
  <c r="G13" i="1"/>
  <c r="I13" i="1" s="1"/>
  <c r="H13" i="1" s="1"/>
  <c r="G14" i="1"/>
  <c r="I14" i="1" s="1"/>
  <c r="H14" i="1" s="1"/>
  <c r="G15" i="1"/>
  <c r="I15" i="1" s="1"/>
  <c r="H15" i="1" s="1"/>
  <c r="G16" i="1"/>
  <c r="I16" i="1" s="1"/>
  <c r="H16" i="1" s="1"/>
  <c r="G17" i="1"/>
  <c r="I17" i="1" s="1"/>
  <c r="H17" i="1" s="1"/>
  <c r="G18" i="1"/>
  <c r="I18" i="1" s="1"/>
  <c r="H18" i="1" s="1"/>
  <c r="G19" i="1"/>
  <c r="I19" i="1" s="1"/>
  <c r="H19" i="1" s="1"/>
  <c r="G20" i="1"/>
  <c r="I20" i="1" s="1"/>
  <c r="H20" i="1" s="1"/>
  <c r="G21" i="1"/>
  <c r="I21" i="1" s="1"/>
  <c r="H21" i="1" s="1"/>
  <c r="G22" i="1"/>
  <c r="I22" i="1" s="1"/>
  <c r="H22" i="1" s="1"/>
  <c r="G23" i="1"/>
  <c r="I23" i="1" s="1"/>
  <c r="H23" i="1" s="1"/>
  <c r="G24" i="1"/>
  <c r="I24" i="1" s="1"/>
  <c r="H24" i="1" s="1"/>
  <c r="G25" i="1"/>
  <c r="I25" i="1" s="1"/>
  <c r="H25" i="1" s="1"/>
  <c r="G26" i="1"/>
  <c r="I26" i="1" s="1"/>
  <c r="H26" i="1" s="1"/>
  <c r="G27" i="1"/>
  <c r="I27" i="1" s="1"/>
  <c r="H27" i="1" s="1"/>
  <c r="G28" i="1"/>
  <c r="I28" i="1" s="1"/>
  <c r="H28" i="1" s="1"/>
  <c r="G29" i="1"/>
  <c r="I29" i="1" s="1"/>
  <c r="H29" i="1" s="1"/>
  <c r="G30" i="1"/>
  <c r="I30" i="1" s="1"/>
  <c r="H30" i="1" s="1"/>
  <c r="G31" i="1"/>
  <c r="I31" i="1" s="1"/>
  <c r="H31" i="1" s="1"/>
  <c r="G32" i="1"/>
  <c r="I32" i="1" s="1"/>
  <c r="H32" i="1" s="1"/>
  <c r="G33" i="1"/>
  <c r="I33" i="1" s="1"/>
  <c r="H33" i="1" s="1"/>
  <c r="G34" i="1"/>
  <c r="I34" i="1" s="1"/>
  <c r="H34" i="1" s="1"/>
  <c r="G35" i="1"/>
  <c r="I35" i="1" s="1"/>
  <c r="H35" i="1" s="1"/>
  <c r="G36" i="1"/>
  <c r="I36" i="1" s="1"/>
  <c r="H36" i="1" s="1"/>
  <c r="G37" i="1"/>
  <c r="I37" i="1" s="1"/>
  <c r="H37" i="1" s="1"/>
  <c r="G38" i="1"/>
  <c r="I38" i="1" s="1"/>
  <c r="H38" i="1" s="1"/>
  <c r="G39" i="1"/>
  <c r="I39" i="1" s="1"/>
  <c r="H39" i="1" s="1"/>
  <c r="G40" i="1"/>
  <c r="I40" i="1" s="1"/>
  <c r="H40" i="1" s="1"/>
  <c r="G41" i="1"/>
  <c r="I41" i="1" s="1"/>
  <c r="H41" i="1" s="1"/>
  <c r="G42" i="1"/>
  <c r="I42" i="1" s="1"/>
  <c r="H42" i="1" s="1"/>
  <c r="G43" i="1"/>
  <c r="I43" i="1" s="1"/>
  <c r="H43" i="1" s="1"/>
  <c r="G44" i="1"/>
  <c r="I44" i="1" s="1"/>
  <c r="H44" i="1" s="1"/>
  <c r="G45" i="1"/>
  <c r="I45" i="1" s="1"/>
  <c r="H45" i="1" s="1"/>
  <c r="G46" i="1"/>
  <c r="I46" i="1" s="1"/>
  <c r="H46" i="1" s="1"/>
  <c r="G47" i="1"/>
  <c r="I47" i="1" s="1"/>
  <c r="H47" i="1" s="1"/>
  <c r="G48" i="1"/>
  <c r="I48" i="1" s="1"/>
  <c r="H48" i="1" s="1"/>
  <c r="G49" i="1"/>
  <c r="I49" i="1" s="1"/>
  <c r="H49" i="1" s="1"/>
  <c r="G50" i="1"/>
  <c r="I50" i="1" s="1"/>
  <c r="H50" i="1" s="1"/>
  <c r="G51" i="1"/>
  <c r="I51" i="1" s="1"/>
  <c r="H51" i="1" s="1"/>
  <c r="G52" i="1"/>
  <c r="I52" i="1" s="1"/>
  <c r="H52" i="1" s="1"/>
  <c r="G53" i="1"/>
  <c r="I53" i="1" s="1"/>
  <c r="H53" i="1" s="1"/>
  <c r="G54" i="1"/>
  <c r="I54" i="1" s="1"/>
  <c r="H54" i="1" s="1"/>
  <c r="G55" i="1"/>
  <c r="I55" i="1" s="1"/>
  <c r="H55" i="1" s="1"/>
  <c r="G56" i="1"/>
  <c r="I56" i="1" s="1"/>
  <c r="H56" i="1" s="1"/>
  <c r="G57" i="1"/>
  <c r="I57" i="1" s="1"/>
  <c r="H57" i="1" s="1"/>
  <c r="G58" i="1"/>
  <c r="I58" i="1" s="1"/>
  <c r="H58" i="1" s="1"/>
  <c r="G59" i="1"/>
  <c r="I59" i="1" s="1"/>
  <c r="H59" i="1" s="1"/>
  <c r="G60" i="1"/>
  <c r="I60" i="1" s="1"/>
  <c r="H60" i="1" s="1"/>
  <c r="G61" i="1"/>
  <c r="I61" i="1" s="1"/>
  <c r="H61" i="1" s="1"/>
  <c r="G62" i="1"/>
  <c r="I62" i="1" s="1"/>
  <c r="H62" i="1" s="1"/>
  <c r="G63" i="1"/>
  <c r="I63" i="1" s="1"/>
  <c r="H63" i="1" s="1"/>
  <c r="G64" i="1"/>
  <c r="I64" i="1" s="1"/>
  <c r="H64" i="1" s="1"/>
  <c r="G65" i="1"/>
  <c r="I65" i="1" s="1"/>
  <c r="H65" i="1" s="1"/>
  <c r="G66" i="1"/>
  <c r="I66" i="1" s="1"/>
  <c r="H66" i="1" s="1"/>
  <c r="G67" i="1"/>
  <c r="I67" i="1" s="1"/>
  <c r="H67" i="1" s="1"/>
  <c r="G68" i="1"/>
  <c r="I68" i="1" s="1"/>
  <c r="H68" i="1" s="1"/>
  <c r="G69" i="1"/>
  <c r="I69" i="1" s="1"/>
  <c r="H69" i="1" s="1"/>
  <c r="G70" i="1"/>
  <c r="I70" i="1" s="1"/>
  <c r="H70" i="1" s="1"/>
  <c r="G71" i="1"/>
  <c r="I71" i="1" s="1"/>
  <c r="H71" i="1" s="1"/>
  <c r="G72" i="1"/>
  <c r="I72" i="1" s="1"/>
  <c r="H72" i="1" s="1"/>
  <c r="G73" i="1"/>
  <c r="I73" i="1" s="1"/>
  <c r="H73" i="1" s="1"/>
  <c r="G74" i="1"/>
  <c r="I74" i="1" s="1"/>
  <c r="H74" i="1" s="1"/>
  <c r="G75" i="1"/>
  <c r="I75" i="1" s="1"/>
  <c r="H75" i="1" s="1"/>
  <c r="G76" i="1"/>
  <c r="I76" i="1" s="1"/>
  <c r="H76" i="1" s="1"/>
  <c r="G77" i="1"/>
  <c r="I77" i="1" s="1"/>
  <c r="H77" i="1" s="1"/>
  <c r="G78" i="1"/>
  <c r="I78" i="1" s="1"/>
  <c r="H78" i="1" s="1"/>
  <c r="G79" i="1"/>
  <c r="I79" i="1" s="1"/>
  <c r="H79" i="1" s="1"/>
  <c r="G80" i="1"/>
  <c r="I80" i="1" s="1"/>
  <c r="H80" i="1" s="1"/>
  <c r="G81" i="1"/>
  <c r="I81" i="1" s="1"/>
  <c r="H81" i="1" s="1"/>
  <c r="G82" i="1"/>
  <c r="I82" i="1" s="1"/>
  <c r="H82" i="1" s="1"/>
  <c r="G83" i="1"/>
  <c r="I83" i="1" s="1"/>
  <c r="H83" i="1" s="1"/>
  <c r="G84" i="1"/>
  <c r="I84" i="1" s="1"/>
  <c r="H84" i="1" s="1"/>
  <c r="G85" i="1"/>
  <c r="I85" i="1" s="1"/>
  <c r="H85" i="1" s="1"/>
  <c r="G86" i="1"/>
  <c r="I86" i="1" s="1"/>
  <c r="H86" i="1" s="1"/>
  <c r="G87" i="1"/>
  <c r="I87" i="1" s="1"/>
  <c r="H87" i="1" s="1"/>
  <c r="G88" i="1"/>
  <c r="I88" i="1" s="1"/>
  <c r="H88" i="1" s="1"/>
  <c r="G89" i="1"/>
  <c r="I89" i="1" s="1"/>
  <c r="H89" i="1" s="1"/>
  <c r="G90" i="1"/>
  <c r="I90" i="1" s="1"/>
  <c r="H90" i="1" s="1"/>
  <c r="G91" i="1"/>
  <c r="I91" i="1" s="1"/>
  <c r="H91" i="1" s="1"/>
  <c r="G92" i="1"/>
  <c r="I92" i="1" s="1"/>
  <c r="H92" i="1" s="1"/>
  <c r="G93" i="1"/>
  <c r="I93" i="1" s="1"/>
  <c r="H93" i="1" s="1"/>
  <c r="G94" i="1"/>
  <c r="I94" i="1" s="1"/>
  <c r="H94" i="1" s="1"/>
  <c r="G95" i="1"/>
  <c r="I95" i="1" s="1"/>
  <c r="H95" i="1" s="1"/>
  <c r="G96" i="1"/>
  <c r="I96" i="1" s="1"/>
  <c r="H96" i="1" s="1"/>
  <c r="G97" i="1"/>
  <c r="I97" i="1" s="1"/>
  <c r="H97" i="1" s="1"/>
  <c r="G98" i="1"/>
  <c r="I98" i="1" s="1"/>
  <c r="H98" i="1" s="1"/>
  <c r="G99" i="1"/>
  <c r="I99" i="1" s="1"/>
  <c r="H99" i="1" s="1"/>
  <c r="G100" i="1"/>
  <c r="I100" i="1" s="1"/>
  <c r="H100" i="1" s="1"/>
  <c r="G101" i="1"/>
  <c r="I101" i="1" s="1"/>
  <c r="H101" i="1" s="1"/>
  <c r="G102" i="1"/>
  <c r="I102" i="1" s="1"/>
  <c r="H102" i="1" s="1"/>
  <c r="G103" i="1"/>
  <c r="I103" i="1" s="1"/>
  <c r="H103" i="1" s="1"/>
  <c r="G104" i="1"/>
  <c r="I104" i="1" s="1"/>
  <c r="H104" i="1" s="1"/>
  <c r="G105" i="1"/>
  <c r="I105" i="1" s="1"/>
  <c r="H105" i="1" s="1"/>
  <c r="G106" i="1"/>
  <c r="I106" i="1" s="1"/>
  <c r="H106" i="1" s="1"/>
  <c r="G107" i="1"/>
  <c r="I107" i="1" s="1"/>
  <c r="H107" i="1" s="1"/>
  <c r="G108" i="1"/>
  <c r="I108" i="1" s="1"/>
  <c r="H108" i="1" s="1"/>
  <c r="G109" i="1"/>
  <c r="I109" i="1" s="1"/>
  <c r="H109" i="1" s="1"/>
  <c r="G110" i="1"/>
  <c r="I110" i="1" s="1"/>
  <c r="H110" i="1" s="1"/>
  <c r="G111" i="1"/>
  <c r="I111" i="1" s="1"/>
  <c r="H111" i="1" s="1"/>
  <c r="G112" i="1"/>
  <c r="I112" i="1" s="1"/>
  <c r="H112" i="1" s="1"/>
  <c r="G113" i="1"/>
  <c r="I113" i="1" s="1"/>
  <c r="H113" i="1" s="1"/>
  <c r="G114" i="1"/>
  <c r="I114" i="1" s="1"/>
  <c r="H114" i="1" s="1"/>
  <c r="G115" i="1"/>
  <c r="I115" i="1" s="1"/>
  <c r="H115" i="1" s="1"/>
  <c r="G116" i="1"/>
  <c r="I116" i="1" s="1"/>
  <c r="H116" i="1" s="1"/>
  <c r="G117" i="1"/>
  <c r="I117" i="1" s="1"/>
  <c r="H117" i="1" s="1"/>
  <c r="G118" i="1"/>
  <c r="I118" i="1" s="1"/>
  <c r="H118" i="1" s="1"/>
  <c r="G119" i="1"/>
  <c r="I119" i="1" s="1"/>
  <c r="H119" i="1" s="1"/>
  <c r="G120" i="1"/>
  <c r="I120" i="1" s="1"/>
  <c r="H120" i="1" s="1"/>
  <c r="G121" i="1"/>
  <c r="I121" i="1" s="1"/>
  <c r="H121" i="1" s="1"/>
  <c r="G122" i="1"/>
  <c r="I122" i="1" s="1"/>
  <c r="H122" i="1" s="1"/>
  <c r="G123" i="1"/>
  <c r="I123" i="1" s="1"/>
  <c r="H123" i="1" s="1"/>
  <c r="G124" i="1"/>
  <c r="I124" i="1" s="1"/>
  <c r="H124" i="1" s="1"/>
  <c r="G125" i="1"/>
  <c r="I125" i="1" s="1"/>
  <c r="H125" i="1" s="1"/>
  <c r="G126" i="1"/>
  <c r="I126" i="1" s="1"/>
  <c r="H126" i="1" s="1"/>
  <c r="G127" i="1"/>
  <c r="I127" i="1" s="1"/>
  <c r="H127" i="1" s="1"/>
  <c r="G128" i="1"/>
  <c r="I128" i="1" s="1"/>
  <c r="H128" i="1" s="1"/>
  <c r="G129" i="1"/>
  <c r="I129" i="1" s="1"/>
  <c r="H129" i="1" s="1"/>
  <c r="G130" i="1"/>
  <c r="I130" i="1" s="1"/>
  <c r="H130" i="1" s="1"/>
  <c r="G131" i="1"/>
  <c r="I131" i="1" s="1"/>
  <c r="H131" i="1" s="1"/>
  <c r="G132" i="1"/>
  <c r="I132" i="1" s="1"/>
  <c r="H132" i="1" s="1"/>
  <c r="G133" i="1"/>
  <c r="I133" i="1" s="1"/>
  <c r="H133" i="1" s="1"/>
  <c r="G134" i="1"/>
  <c r="I134" i="1" s="1"/>
  <c r="H134" i="1" s="1"/>
  <c r="G135" i="1"/>
  <c r="I135" i="1" s="1"/>
  <c r="H135" i="1" s="1"/>
  <c r="G136" i="1"/>
  <c r="I136" i="1" s="1"/>
  <c r="H136" i="1" s="1"/>
  <c r="G137" i="1"/>
  <c r="I137" i="1" s="1"/>
  <c r="H137" i="1" s="1"/>
  <c r="G138" i="1"/>
  <c r="I138" i="1" s="1"/>
  <c r="H138" i="1" s="1"/>
  <c r="G139" i="1"/>
  <c r="I139" i="1" s="1"/>
  <c r="H139" i="1" s="1"/>
  <c r="G140" i="1"/>
  <c r="I140" i="1" s="1"/>
  <c r="H140" i="1" s="1"/>
  <c r="G141" i="1"/>
  <c r="I141" i="1" s="1"/>
  <c r="H141" i="1" s="1"/>
  <c r="G142" i="1"/>
  <c r="I142" i="1" s="1"/>
  <c r="H142" i="1" s="1"/>
  <c r="G143" i="1"/>
  <c r="I143" i="1" s="1"/>
  <c r="H143" i="1" s="1"/>
  <c r="G144" i="1"/>
  <c r="I144" i="1" s="1"/>
  <c r="H144" i="1" s="1"/>
  <c r="G145" i="1"/>
  <c r="I145" i="1" s="1"/>
  <c r="H145" i="1" s="1"/>
  <c r="G146" i="1"/>
  <c r="I146" i="1" s="1"/>
  <c r="H146" i="1" s="1"/>
  <c r="G147" i="1"/>
  <c r="I147" i="1" s="1"/>
  <c r="H147" i="1" s="1"/>
  <c r="G148" i="1"/>
  <c r="I148" i="1" s="1"/>
  <c r="H148" i="1" s="1"/>
  <c r="G149" i="1"/>
  <c r="I149" i="1" s="1"/>
  <c r="H149" i="1" s="1"/>
  <c r="G150" i="1"/>
  <c r="I150" i="1" s="1"/>
  <c r="H150" i="1" s="1"/>
  <c r="G151" i="1"/>
  <c r="I151" i="1" s="1"/>
  <c r="H151" i="1" s="1"/>
  <c r="G152" i="1"/>
  <c r="I152" i="1" s="1"/>
  <c r="H152" i="1" s="1"/>
  <c r="G153" i="1"/>
  <c r="I153" i="1" s="1"/>
  <c r="H153" i="1" s="1"/>
  <c r="G154" i="1"/>
  <c r="I154" i="1" s="1"/>
  <c r="H154" i="1" s="1"/>
  <c r="G155" i="1"/>
  <c r="I155" i="1" s="1"/>
  <c r="H155" i="1" s="1"/>
  <c r="G156" i="1"/>
  <c r="I156" i="1" s="1"/>
  <c r="H156" i="1" s="1"/>
  <c r="G157" i="1"/>
  <c r="I157" i="1" s="1"/>
  <c r="H157" i="1" s="1"/>
  <c r="G158" i="1"/>
  <c r="I158" i="1" s="1"/>
  <c r="H158" i="1" s="1"/>
  <c r="G159" i="1"/>
  <c r="I159" i="1" s="1"/>
  <c r="H159" i="1" s="1"/>
  <c r="G160" i="1"/>
  <c r="I160" i="1" s="1"/>
  <c r="H160" i="1" s="1"/>
  <c r="G161" i="1"/>
  <c r="I161" i="1" s="1"/>
  <c r="H161" i="1" s="1"/>
  <c r="G162" i="1"/>
  <c r="I162" i="1" s="1"/>
  <c r="H162" i="1" s="1"/>
  <c r="G163" i="1"/>
  <c r="I163" i="1" s="1"/>
  <c r="H163" i="1" s="1"/>
  <c r="G164" i="1"/>
  <c r="I164" i="1" s="1"/>
  <c r="H164" i="1" s="1"/>
  <c r="G165" i="1"/>
  <c r="I165" i="1" s="1"/>
  <c r="H165" i="1" s="1"/>
  <c r="G166" i="1"/>
  <c r="I166" i="1" s="1"/>
  <c r="H166" i="1" s="1"/>
  <c r="G167" i="1"/>
  <c r="I167" i="1" s="1"/>
  <c r="H167" i="1" s="1"/>
  <c r="G168" i="1"/>
  <c r="I168" i="1" s="1"/>
  <c r="H168" i="1" s="1"/>
  <c r="G169" i="1"/>
  <c r="I169" i="1" s="1"/>
  <c r="H169" i="1" s="1"/>
  <c r="G170" i="1"/>
  <c r="I170" i="1" s="1"/>
  <c r="H170" i="1" s="1"/>
  <c r="G171" i="1"/>
  <c r="I171" i="1" s="1"/>
  <c r="H171" i="1" s="1"/>
  <c r="G172" i="1"/>
  <c r="I172" i="1" s="1"/>
  <c r="H172" i="1" s="1"/>
  <c r="G173" i="1"/>
  <c r="I173" i="1" s="1"/>
  <c r="H173" i="1" s="1"/>
  <c r="G174" i="1"/>
  <c r="I174" i="1" s="1"/>
  <c r="H174" i="1" s="1"/>
  <c r="G175" i="1"/>
  <c r="I175" i="1" s="1"/>
  <c r="H175" i="1" s="1"/>
  <c r="G176" i="1"/>
  <c r="I176" i="1" s="1"/>
  <c r="H176" i="1" s="1"/>
  <c r="G177" i="1"/>
  <c r="I177" i="1" s="1"/>
  <c r="H177" i="1" s="1"/>
  <c r="G178" i="1"/>
  <c r="I178" i="1" s="1"/>
  <c r="H178" i="1" s="1"/>
  <c r="G179" i="1"/>
  <c r="I179" i="1" s="1"/>
  <c r="H179" i="1" s="1"/>
  <c r="G180" i="1"/>
  <c r="I180" i="1" s="1"/>
  <c r="H180" i="1" s="1"/>
  <c r="G181" i="1"/>
  <c r="I181" i="1" s="1"/>
  <c r="H181" i="1" s="1"/>
  <c r="G182" i="1"/>
  <c r="I182" i="1" s="1"/>
  <c r="H182" i="1" s="1"/>
  <c r="G183" i="1"/>
  <c r="I183" i="1" s="1"/>
  <c r="H183" i="1" s="1"/>
  <c r="G184" i="1"/>
  <c r="I184" i="1" s="1"/>
  <c r="H184" i="1" s="1"/>
  <c r="G185" i="1"/>
  <c r="I185" i="1" s="1"/>
  <c r="H185" i="1" s="1"/>
  <c r="G186" i="1"/>
  <c r="I186" i="1" s="1"/>
  <c r="H186" i="1" s="1"/>
  <c r="G187" i="1"/>
  <c r="I187" i="1" s="1"/>
  <c r="H187" i="1" s="1"/>
  <c r="G188" i="1"/>
  <c r="I188" i="1" s="1"/>
  <c r="H188" i="1" s="1"/>
  <c r="G189" i="1"/>
  <c r="I189" i="1" s="1"/>
  <c r="H189" i="1" s="1"/>
  <c r="G190" i="1"/>
  <c r="I190" i="1" s="1"/>
  <c r="H190" i="1" s="1"/>
  <c r="G191" i="1"/>
  <c r="I191" i="1" s="1"/>
  <c r="H191" i="1" s="1"/>
  <c r="G192" i="1"/>
  <c r="I192" i="1" s="1"/>
  <c r="H192" i="1" s="1"/>
  <c r="G193" i="1"/>
  <c r="I193" i="1" s="1"/>
  <c r="H193" i="1" s="1"/>
  <c r="G194" i="1"/>
  <c r="I194" i="1" s="1"/>
  <c r="H194" i="1" s="1"/>
  <c r="G195" i="1"/>
  <c r="I195" i="1" s="1"/>
  <c r="H195" i="1" s="1"/>
  <c r="G196" i="1"/>
  <c r="I196" i="1" s="1"/>
  <c r="H196" i="1" s="1"/>
  <c r="G197" i="1"/>
  <c r="I197" i="1" s="1"/>
  <c r="H197" i="1" s="1"/>
  <c r="G198" i="1"/>
  <c r="I198" i="1" s="1"/>
  <c r="H198" i="1" s="1"/>
  <c r="G199" i="1"/>
  <c r="I199" i="1" s="1"/>
  <c r="H199" i="1" s="1"/>
  <c r="G200" i="1"/>
  <c r="I200" i="1" s="1"/>
  <c r="H200" i="1" s="1"/>
  <c r="G201" i="1"/>
  <c r="I201" i="1" s="1"/>
  <c r="H201" i="1" s="1"/>
  <c r="G202" i="1"/>
  <c r="I202" i="1" s="1"/>
  <c r="H202" i="1" s="1"/>
  <c r="G203" i="1"/>
  <c r="I203" i="1" s="1"/>
  <c r="H203" i="1" s="1"/>
  <c r="G204" i="1"/>
  <c r="I204" i="1" s="1"/>
  <c r="H204" i="1" s="1"/>
  <c r="G205" i="1"/>
  <c r="I205" i="1" s="1"/>
  <c r="H205" i="1" s="1"/>
  <c r="G206" i="1"/>
  <c r="I206" i="1" s="1"/>
  <c r="H206" i="1" s="1"/>
  <c r="G207" i="1"/>
  <c r="I207" i="1" s="1"/>
  <c r="H207" i="1" s="1"/>
  <c r="G208" i="1"/>
  <c r="I208" i="1" s="1"/>
  <c r="H208" i="1" s="1"/>
  <c r="G209" i="1"/>
  <c r="I209" i="1" s="1"/>
  <c r="H209" i="1" s="1"/>
  <c r="G210" i="1"/>
  <c r="I210" i="1" s="1"/>
  <c r="H210" i="1" s="1"/>
  <c r="G211" i="1"/>
  <c r="I211" i="1" s="1"/>
  <c r="H211" i="1" s="1"/>
  <c r="G212" i="1"/>
  <c r="I212" i="1" s="1"/>
  <c r="H212" i="1" s="1"/>
  <c r="G213" i="1"/>
  <c r="I213" i="1" s="1"/>
  <c r="H213" i="1" s="1"/>
  <c r="G214" i="1"/>
  <c r="I214" i="1" s="1"/>
  <c r="H214" i="1" s="1"/>
  <c r="G215" i="1"/>
  <c r="I215" i="1" s="1"/>
  <c r="H215" i="1" s="1"/>
  <c r="G216" i="1"/>
  <c r="I216" i="1" s="1"/>
  <c r="H216" i="1" s="1"/>
  <c r="G217" i="1"/>
  <c r="I217" i="1" s="1"/>
  <c r="H217" i="1" s="1"/>
  <c r="G218" i="1"/>
  <c r="I218" i="1" s="1"/>
  <c r="H218" i="1" s="1"/>
  <c r="G219" i="1"/>
  <c r="I219" i="1" s="1"/>
  <c r="H219" i="1" s="1"/>
  <c r="G220" i="1"/>
  <c r="I220" i="1" s="1"/>
  <c r="H220" i="1" s="1"/>
  <c r="G221" i="1"/>
  <c r="I221" i="1" s="1"/>
  <c r="H221" i="1" s="1"/>
  <c r="G222" i="1"/>
  <c r="I222" i="1" s="1"/>
  <c r="H222" i="1" s="1"/>
  <c r="G223" i="1"/>
  <c r="I223" i="1" s="1"/>
  <c r="H223" i="1" s="1"/>
  <c r="G224" i="1"/>
  <c r="I224" i="1" s="1"/>
  <c r="H224" i="1" s="1"/>
  <c r="G225" i="1"/>
  <c r="I225" i="1" s="1"/>
  <c r="H225" i="1" s="1"/>
  <c r="G226" i="1"/>
  <c r="I226" i="1" s="1"/>
  <c r="H226" i="1" s="1"/>
  <c r="G227" i="1"/>
  <c r="I227" i="1" s="1"/>
  <c r="H227" i="1" s="1"/>
  <c r="G228" i="1"/>
  <c r="I228" i="1" s="1"/>
  <c r="H228" i="1" s="1"/>
  <c r="G229" i="1"/>
  <c r="I229" i="1" s="1"/>
  <c r="H229" i="1" s="1"/>
  <c r="G230" i="1"/>
  <c r="I230" i="1" s="1"/>
  <c r="H230" i="1" s="1"/>
  <c r="G231" i="1"/>
  <c r="I231" i="1" s="1"/>
  <c r="H231" i="1" s="1"/>
  <c r="G232" i="1"/>
  <c r="I232" i="1" s="1"/>
  <c r="H232" i="1" s="1"/>
  <c r="G233" i="1"/>
  <c r="I233" i="1" s="1"/>
  <c r="H233" i="1" s="1"/>
  <c r="G234" i="1"/>
  <c r="I234" i="1" s="1"/>
  <c r="H234" i="1" s="1"/>
  <c r="G235" i="1"/>
  <c r="I235" i="1" s="1"/>
  <c r="H235" i="1" s="1"/>
  <c r="G236" i="1"/>
  <c r="I236" i="1" s="1"/>
  <c r="H236" i="1" s="1"/>
  <c r="G237" i="1"/>
  <c r="I237" i="1" s="1"/>
  <c r="H237" i="1" s="1"/>
  <c r="G238" i="1"/>
  <c r="I238" i="1" s="1"/>
  <c r="H238" i="1" s="1"/>
  <c r="G239" i="1"/>
  <c r="I239" i="1" s="1"/>
  <c r="H239" i="1" s="1"/>
  <c r="G240" i="1"/>
  <c r="I240" i="1" s="1"/>
  <c r="H240" i="1" s="1"/>
  <c r="G241" i="1"/>
  <c r="I241" i="1" s="1"/>
  <c r="H241" i="1" s="1"/>
  <c r="G242" i="1"/>
  <c r="I242" i="1" s="1"/>
  <c r="H242" i="1" s="1"/>
  <c r="G243" i="1"/>
  <c r="I243" i="1" s="1"/>
  <c r="H243" i="1" s="1"/>
  <c r="G244" i="1"/>
  <c r="I244" i="1" s="1"/>
  <c r="H244" i="1" s="1"/>
  <c r="G245" i="1"/>
  <c r="I245" i="1" s="1"/>
  <c r="H245" i="1" s="1"/>
  <c r="G246" i="1"/>
  <c r="I246" i="1" s="1"/>
  <c r="H246" i="1" s="1"/>
  <c r="G247" i="1"/>
  <c r="I247" i="1" s="1"/>
  <c r="H247" i="1" s="1"/>
  <c r="G248" i="1"/>
  <c r="I248" i="1" s="1"/>
  <c r="H248" i="1" s="1"/>
  <c r="G249" i="1"/>
  <c r="I249" i="1" s="1"/>
  <c r="H249" i="1" s="1"/>
  <c r="G250" i="1"/>
  <c r="I250" i="1" s="1"/>
  <c r="H250" i="1" s="1"/>
  <c r="G251" i="1"/>
  <c r="I251" i="1" s="1"/>
  <c r="H251" i="1" s="1"/>
  <c r="G252" i="1"/>
  <c r="I252" i="1" s="1"/>
  <c r="H252" i="1" s="1"/>
  <c r="G253" i="1"/>
  <c r="I253" i="1" s="1"/>
  <c r="H253" i="1" s="1"/>
  <c r="G254" i="1"/>
  <c r="I254" i="1" s="1"/>
  <c r="H254" i="1" s="1"/>
  <c r="G255" i="1"/>
  <c r="I255" i="1" s="1"/>
  <c r="H255" i="1" s="1"/>
  <c r="G256" i="1"/>
  <c r="I256" i="1" s="1"/>
  <c r="H256" i="1" s="1"/>
  <c r="G257" i="1"/>
  <c r="I257" i="1" s="1"/>
  <c r="H257" i="1" s="1"/>
  <c r="G258" i="1"/>
  <c r="I258" i="1" s="1"/>
  <c r="H258" i="1" s="1"/>
  <c r="G259" i="1"/>
  <c r="I259" i="1" s="1"/>
  <c r="H259" i="1" s="1"/>
  <c r="G260" i="1"/>
  <c r="I260" i="1" s="1"/>
  <c r="H260" i="1" s="1"/>
  <c r="G261" i="1"/>
  <c r="I261" i="1" s="1"/>
  <c r="H261" i="1" s="1"/>
  <c r="G262" i="1"/>
  <c r="I262" i="1" s="1"/>
  <c r="H262" i="1" s="1"/>
  <c r="G263" i="1"/>
  <c r="I263" i="1" s="1"/>
  <c r="H263" i="1" s="1"/>
  <c r="G264" i="1"/>
  <c r="I264" i="1" s="1"/>
  <c r="H264" i="1" s="1"/>
  <c r="G265" i="1"/>
  <c r="I265" i="1" s="1"/>
  <c r="H265" i="1" s="1"/>
  <c r="G266" i="1"/>
  <c r="I266" i="1" s="1"/>
  <c r="H266" i="1" s="1"/>
  <c r="G267" i="1"/>
  <c r="I267" i="1" s="1"/>
  <c r="H267" i="1" s="1"/>
  <c r="G268" i="1"/>
  <c r="I268" i="1" s="1"/>
  <c r="H268" i="1" s="1"/>
  <c r="G269" i="1"/>
  <c r="I269" i="1" s="1"/>
  <c r="H269" i="1" s="1"/>
  <c r="G270" i="1"/>
  <c r="I270" i="1" s="1"/>
  <c r="H270" i="1" s="1"/>
  <c r="G271" i="1"/>
  <c r="I271" i="1" s="1"/>
  <c r="H271" i="1" s="1"/>
  <c r="G272" i="1"/>
  <c r="I272" i="1" s="1"/>
  <c r="H272" i="1" s="1"/>
  <c r="G273" i="1"/>
  <c r="I273" i="1" s="1"/>
  <c r="H273" i="1" s="1"/>
  <c r="G274" i="1"/>
  <c r="I274" i="1" s="1"/>
  <c r="H274" i="1" s="1"/>
  <c r="G275" i="1"/>
  <c r="I275" i="1" s="1"/>
  <c r="H275" i="1" s="1"/>
  <c r="G276" i="1"/>
  <c r="I276" i="1" s="1"/>
  <c r="H276" i="1" s="1"/>
  <c r="G277" i="1"/>
  <c r="I277" i="1" s="1"/>
  <c r="H277" i="1" s="1"/>
  <c r="G278" i="1"/>
  <c r="I278" i="1" s="1"/>
  <c r="H278" i="1" s="1"/>
  <c r="G279" i="1"/>
  <c r="I279" i="1" s="1"/>
  <c r="H279" i="1" s="1"/>
  <c r="G280" i="1"/>
  <c r="I280" i="1" s="1"/>
  <c r="H280" i="1" s="1"/>
  <c r="G281" i="1"/>
  <c r="I281" i="1" s="1"/>
  <c r="H281" i="1" s="1"/>
  <c r="G282" i="1"/>
  <c r="I282" i="1" s="1"/>
  <c r="H282" i="1" s="1"/>
  <c r="G283" i="1"/>
  <c r="I283" i="1" s="1"/>
  <c r="H283" i="1" s="1"/>
  <c r="G284" i="1"/>
  <c r="I284" i="1" s="1"/>
  <c r="H284" i="1" s="1"/>
  <c r="G285" i="1"/>
  <c r="I285" i="1" s="1"/>
  <c r="H285" i="1" s="1"/>
  <c r="G286" i="1"/>
  <c r="I286" i="1" s="1"/>
  <c r="H286" i="1" s="1"/>
  <c r="G287" i="1"/>
  <c r="I287" i="1" s="1"/>
  <c r="H287" i="1" s="1"/>
  <c r="G288" i="1"/>
  <c r="I288" i="1" s="1"/>
  <c r="H288" i="1" s="1"/>
  <c r="G289" i="1"/>
  <c r="I289" i="1" s="1"/>
  <c r="H289" i="1" s="1"/>
  <c r="G290" i="1"/>
  <c r="I290" i="1" s="1"/>
  <c r="H290" i="1" s="1"/>
  <c r="G291" i="1"/>
  <c r="I291" i="1" s="1"/>
  <c r="H291" i="1" s="1"/>
  <c r="G292" i="1"/>
  <c r="I292" i="1" s="1"/>
  <c r="H292" i="1" s="1"/>
  <c r="G293" i="1"/>
  <c r="I293" i="1" s="1"/>
  <c r="H293" i="1" s="1"/>
  <c r="G294" i="1"/>
  <c r="I294" i="1" s="1"/>
  <c r="H294" i="1" s="1"/>
  <c r="G295" i="1"/>
  <c r="I295" i="1" s="1"/>
  <c r="H295" i="1" s="1"/>
  <c r="G296" i="1"/>
  <c r="I296" i="1" s="1"/>
  <c r="H296" i="1" s="1"/>
  <c r="G297" i="1"/>
  <c r="I297" i="1" s="1"/>
  <c r="H297" i="1" s="1"/>
  <c r="G298" i="1"/>
  <c r="I298" i="1" s="1"/>
  <c r="H298" i="1" s="1"/>
  <c r="G299" i="1"/>
  <c r="I299" i="1" s="1"/>
  <c r="H299" i="1" s="1"/>
  <c r="G300" i="1"/>
  <c r="I300" i="1" s="1"/>
  <c r="H300" i="1" s="1"/>
  <c r="G301" i="1"/>
  <c r="I301" i="1" s="1"/>
  <c r="H301" i="1" s="1"/>
  <c r="G302" i="1"/>
  <c r="I302" i="1" s="1"/>
  <c r="H302" i="1" s="1"/>
  <c r="G303" i="1"/>
  <c r="I303" i="1" s="1"/>
  <c r="H303" i="1" s="1"/>
  <c r="G304" i="1"/>
  <c r="I304" i="1" s="1"/>
  <c r="H304" i="1" s="1"/>
  <c r="G305" i="1"/>
  <c r="I305" i="1" s="1"/>
  <c r="H305" i="1" s="1"/>
  <c r="G306" i="1"/>
  <c r="I306" i="1" s="1"/>
  <c r="H306" i="1" s="1"/>
  <c r="G307" i="1"/>
  <c r="I307" i="1" s="1"/>
  <c r="H307" i="1" s="1"/>
  <c r="G308" i="1"/>
  <c r="I308" i="1" s="1"/>
  <c r="H308" i="1" s="1"/>
  <c r="G309" i="1"/>
  <c r="I309" i="1" s="1"/>
  <c r="H309" i="1" s="1"/>
  <c r="G310" i="1"/>
  <c r="I310" i="1" s="1"/>
  <c r="H310" i="1" s="1"/>
  <c r="G311" i="1"/>
  <c r="I311" i="1" s="1"/>
  <c r="H311" i="1" s="1"/>
  <c r="G312" i="1"/>
  <c r="I312" i="1" s="1"/>
  <c r="H312" i="1" s="1"/>
  <c r="G313" i="1"/>
  <c r="I313" i="1" s="1"/>
  <c r="H313" i="1" s="1"/>
  <c r="G314" i="1"/>
  <c r="I314" i="1" s="1"/>
  <c r="H314" i="1" s="1"/>
  <c r="G315" i="1"/>
  <c r="I315" i="1" s="1"/>
  <c r="H315" i="1" s="1"/>
  <c r="G316" i="1"/>
  <c r="I316" i="1" s="1"/>
  <c r="H316" i="1" s="1"/>
  <c r="G317" i="1"/>
  <c r="I317" i="1" s="1"/>
  <c r="H317" i="1" s="1"/>
  <c r="G318" i="1"/>
  <c r="I318" i="1" s="1"/>
  <c r="H318" i="1" s="1"/>
  <c r="G319" i="1"/>
  <c r="I319" i="1" s="1"/>
  <c r="H319" i="1" s="1"/>
  <c r="G320" i="1"/>
  <c r="I320" i="1" s="1"/>
  <c r="H320" i="1" s="1"/>
  <c r="G321" i="1"/>
  <c r="I321" i="1" s="1"/>
  <c r="H321" i="1" s="1"/>
  <c r="G322" i="1"/>
  <c r="I322" i="1" s="1"/>
  <c r="H322" i="1" s="1"/>
  <c r="G323" i="1"/>
  <c r="I323" i="1" s="1"/>
  <c r="H323" i="1" s="1"/>
  <c r="G324" i="1"/>
  <c r="I324" i="1" s="1"/>
  <c r="H324" i="1" s="1"/>
  <c r="G325" i="1"/>
  <c r="I325" i="1" s="1"/>
  <c r="H325" i="1" s="1"/>
  <c r="G326" i="1"/>
  <c r="I326" i="1" s="1"/>
  <c r="H326" i="1" s="1"/>
  <c r="G327" i="1"/>
  <c r="I327" i="1" s="1"/>
  <c r="H327" i="1" s="1"/>
  <c r="G328" i="1"/>
  <c r="I328" i="1" s="1"/>
  <c r="H328" i="1" s="1"/>
  <c r="G329" i="1"/>
  <c r="I329" i="1" s="1"/>
  <c r="H329" i="1" s="1"/>
  <c r="G330" i="1"/>
  <c r="I330" i="1" s="1"/>
  <c r="H330" i="1" s="1"/>
  <c r="G331" i="1"/>
  <c r="I331" i="1" s="1"/>
  <c r="H331" i="1" s="1"/>
  <c r="G332" i="1"/>
  <c r="I332" i="1" s="1"/>
  <c r="H332" i="1" s="1"/>
  <c r="G333" i="1"/>
  <c r="I333" i="1" s="1"/>
  <c r="H333" i="1" s="1"/>
  <c r="G334" i="1"/>
  <c r="I334" i="1" s="1"/>
  <c r="H334" i="1" s="1"/>
  <c r="G335" i="1"/>
  <c r="I335" i="1" s="1"/>
  <c r="H335" i="1" s="1"/>
  <c r="G336" i="1"/>
  <c r="I336" i="1" s="1"/>
  <c r="H336" i="1" s="1"/>
  <c r="G337" i="1"/>
  <c r="I337" i="1" s="1"/>
  <c r="H337" i="1" s="1"/>
  <c r="G338" i="1"/>
  <c r="I338" i="1" s="1"/>
  <c r="H338" i="1" s="1"/>
  <c r="G339" i="1"/>
  <c r="I339" i="1" s="1"/>
  <c r="H339" i="1" s="1"/>
  <c r="G340" i="1"/>
  <c r="I340" i="1" s="1"/>
  <c r="H340" i="1" s="1"/>
  <c r="G341" i="1"/>
  <c r="I341" i="1" s="1"/>
  <c r="H341" i="1" s="1"/>
  <c r="G342" i="1"/>
  <c r="I342" i="1" s="1"/>
  <c r="H342" i="1" s="1"/>
  <c r="G343" i="1"/>
  <c r="I343" i="1" s="1"/>
  <c r="H343" i="1" s="1"/>
  <c r="G344" i="1"/>
  <c r="I344" i="1" s="1"/>
  <c r="H344" i="1" s="1"/>
  <c r="G345" i="1"/>
  <c r="I345" i="1" s="1"/>
  <c r="H345" i="1" s="1"/>
  <c r="G346" i="1"/>
  <c r="I346" i="1" s="1"/>
  <c r="H346" i="1" s="1"/>
  <c r="G347" i="1"/>
  <c r="I347" i="1" s="1"/>
  <c r="H347" i="1" s="1"/>
  <c r="G348" i="1"/>
  <c r="I348" i="1" s="1"/>
  <c r="H348" i="1" s="1"/>
  <c r="G349" i="1"/>
  <c r="I349" i="1" s="1"/>
  <c r="H349" i="1" s="1"/>
  <c r="G350" i="1"/>
  <c r="I350" i="1" s="1"/>
  <c r="H350" i="1" s="1"/>
  <c r="G351" i="1"/>
  <c r="I351" i="1" s="1"/>
  <c r="H351" i="1" s="1"/>
  <c r="G352" i="1"/>
  <c r="I352" i="1" s="1"/>
  <c r="H352" i="1" s="1"/>
  <c r="G353" i="1"/>
  <c r="I353" i="1" s="1"/>
  <c r="H353" i="1" s="1"/>
  <c r="G354" i="1"/>
  <c r="I354" i="1" s="1"/>
  <c r="H354" i="1" s="1"/>
  <c r="G355" i="1"/>
  <c r="I355" i="1" s="1"/>
  <c r="H355" i="1" s="1"/>
  <c r="G356" i="1"/>
  <c r="I356" i="1" s="1"/>
  <c r="H356" i="1" s="1"/>
  <c r="G357" i="1"/>
  <c r="I357" i="1" s="1"/>
  <c r="H357" i="1" s="1"/>
  <c r="G358" i="1"/>
  <c r="I358" i="1" s="1"/>
  <c r="H358" i="1" s="1"/>
  <c r="G359" i="1"/>
  <c r="I359" i="1" s="1"/>
  <c r="H359" i="1" s="1"/>
  <c r="G360" i="1"/>
  <c r="I360" i="1" s="1"/>
  <c r="H360" i="1" s="1"/>
  <c r="G361" i="1"/>
  <c r="I361" i="1" s="1"/>
  <c r="H361" i="1" s="1"/>
  <c r="G362" i="1"/>
  <c r="I362" i="1" s="1"/>
  <c r="H362" i="1" s="1"/>
  <c r="G363" i="1"/>
  <c r="I363" i="1" s="1"/>
  <c r="H363" i="1" s="1"/>
  <c r="G364" i="1"/>
  <c r="I364" i="1" s="1"/>
  <c r="H364" i="1" s="1"/>
  <c r="G365" i="1"/>
  <c r="I365" i="1" s="1"/>
  <c r="H365" i="1" s="1"/>
  <c r="G366" i="1"/>
  <c r="I366" i="1" s="1"/>
  <c r="H366" i="1" s="1"/>
  <c r="G367" i="1"/>
  <c r="I367" i="1" s="1"/>
  <c r="H367" i="1" s="1"/>
  <c r="G368" i="1"/>
  <c r="I368" i="1" s="1"/>
  <c r="H368" i="1" s="1"/>
  <c r="G369" i="1"/>
  <c r="I369" i="1" s="1"/>
  <c r="H369" i="1" s="1"/>
  <c r="G370" i="1"/>
  <c r="I370" i="1" s="1"/>
  <c r="H370" i="1" s="1"/>
  <c r="G371" i="1"/>
  <c r="I371" i="1" s="1"/>
  <c r="H371" i="1" s="1"/>
  <c r="G372" i="1"/>
  <c r="I372" i="1" s="1"/>
  <c r="H372" i="1" s="1"/>
  <c r="G373" i="1"/>
  <c r="I373" i="1" s="1"/>
  <c r="H373" i="1" s="1"/>
  <c r="G374" i="1"/>
  <c r="I374" i="1" s="1"/>
  <c r="H374" i="1" s="1"/>
  <c r="G375" i="1"/>
  <c r="I375" i="1" s="1"/>
  <c r="H375" i="1" s="1"/>
  <c r="G376" i="1"/>
  <c r="I376" i="1" s="1"/>
  <c r="H376" i="1" s="1"/>
  <c r="G377" i="1"/>
  <c r="I377" i="1" s="1"/>
  <c r="H377" i="1" s="1"/>
  <c r="G378" i="1"/>
  <c r="I378" i="1" s="1"/>
  <c r="H378" i="1" s="1"/>
  <c r="G379" i="1"/>
  <c r="I379" i="1" s="1"/>
  <c r="H379" i="1" s="1"/>
  <c r="G380" i="1"/>
  <c r="I380" i="1" s="1"/>
  <c r="H380" i="1" s="1"/>
  <c r="G381" i="1"/>
  <c r="I381" i="1" s="1"/>
  <c r="H381" i="1" s="1"/>
  <c r="G382" i="1"/>
  <c r="I382" i="1" s="1"/>
  <c r="H382" i="1" s="1"/>
  <c r="G383" i="1"/>
  <c r="I383" i="1" s="1"/>
  <c r="H383" i="1" s="1"/>
  <c r="G384" i="1"/>
  <c r="I384" i="1" s="1"/>
  <c r="H384" i="1" s="1"/>
  <c r="G385" i="1"/>
  <c r="I385" i="1" s="1"/>
  <c r="H385" i="1" s="1"/>
  <c r="G386" i="1"/>
  <c r="I386" i="1" s="1"/>
  <c r="H386" i="1" s="1"/>
  <c r="G387" i="1"/>
  <c r="I387" i="1" s="1"/>
  <c r="H387" i="1" s="1"/>
  <c r="G388" i="1"/>
  <c r="I388" i="1" s="1"/>
  <c r="H388" i="1" s="1"/>
  <c r="G389" i="1"/>
  <c r="I389" i="1" s="1"/>
  <c r="H389" i="1" s="1"/>
  <c r="G390" i="1"/>
  <c r="I390" i="1" s="1"/>
  <c r="H390" i="1" s="1"/>
  <c r="G391" i="1"/>
  <c r="I391" i="1" s="1"/>
  <c r="H391" i="1" s="1"/>
  <c r="G392" i="1"/>
  <c r="I392" i="1" s="1"/>
  <c r="H392" i="1" s="1"/>
  <c r="G393" i="1"/>
  <c r="I393" i="1" s="1"/>
  <c r="H393" i="1" s="1"/>
  <c r="G394" i="1"/>
  <c r="I394" i="1" s="1"/>
  <c r="H394" i="1" s="1"/>
  <c r="G395" i="1"/>
  <c r="I395" i="1" s="1"/>
  <c r="H395" i="1" s="1"/>
  <c r="G396" i="1"/>
  <c r="I396" i="1" s="1"/>
  <c r="H396" i="1" s="1"/>
  <c r="G397" i="1"/>
  <c r="I397" i="1" s="1"/>
  <c r="H397" i="1" s="1"/>
  <c r="G398" i="1"/>
  <c r="I398" i="1" s="1"/>
  <c r="H398" i="1" s="1"/>
  <c r="G399" i="1"/>
  <c r="I399" i="1" s="1"/>
  <c r="H399" i="1" s="1"/>
  <c r="G400" i="1"/>
  <c r="I400" i="1" s="1"/>
  <c r="H400" i="1" s="1"/>
  <c r="G401" i="1"/>
  <c r="I401" i="1" s="1"/>
  <c r="H401" i="1" s="1"/>
  <c r="G402" i="1"/>
  <c r="I402" i="1" s="1"/>
  <c r="H402" i="1" s="1"/>
  <c r="G403" i="1"/>
  <c r="I403" i="1" s="1"/>
  <c r="H403" i="1" s="1"/>
  <c r="G404" i="1"/>
  <c r="I404" i="1" s="1"/>
  <c r="H404" i="1" s="1"/>
  <c r="G405" i="1"/>
  <c r="I405" i="1" s="1"/>
  <c r="H405" i="1" s="1"/>
  <c r="G406" i="1"/>
  <c r="I406" i="1" s="1"/>
  <c r="H406" i="1" s="1"/>
  <c r="G407" i="1"/>
  <c r="I407" i="1" s="1"/>
  <c r="H407" i="1" s="1"/>
  <c r="G408" i="1"/>
  <c r="I408" i="1" s="1"/>
  <c r="H408" i="1" s="1"/>
  <c r="G409" i="1"/>
  <c r="I409" i="1" s="1"/>
  <c r="H409" i="1" s="1"/>
  <c r="G410" i="1"/>
  <c r="I410" i="1" s="1"/>
  <c r="H410" i="1" s="1"/>
  <c r="G411" i="1"/>
  <c r="I411" i="1" s="1"/>
  <c r="H411" i="1" s="1"/>
  <c r="G412" i="1"/>
  <c r="I412" i="1" s="1"/>
  <c r="H412" i="1" s="1"/>
  <c r="G413" i="1"/>
  <c r="I413" i="1" s="1"/>
  <c r="H413" i="1" s="1"/>
  <c r="G414" i="1"/>
  <c r="I414" i="1" s="1"/>
  <c r="H414" i="1" s="1"/>
  <c r="G415" i="1"/>
  <c r="I415" i="1" s="1"/>
  <c r="H415" i="1" s="1"/>
  <c r="G416" i="1"/>
  <c r="I416" i="1" s="1"/>
  <c r="H416" i="1" s="1"/>
  <c r="G417" i="1"/>
  <c r="I417" i="1" s="1"/>
  <c r="H417" i="1" s="1"/>
  <c r="G418" i="1"/>
  <c r="I418" i="1" s="1"/>
  <c r="H418" i="1" s="1"/>
  <c r="G419" i="1"/>
  <c r="I419" i="1" s="1"/>
  <c r="H419" i="1" s="1"/>
  <c r="G420" i="1"/>
  <c r="I420" i="1" s="1"/>
  <c r="H420" i="1" s="1"/>
  <c r="G421" i="1"/>
  <c r="I421" i="1" s="1"/>
  <c r="H421" i="1" s="1"/>
  <c r="G422" i="1"/>
  <c r="I422" i="1" s="1"/>
  <c r="H422" i="1" s="1"/>
  <c r="G423" i="1"/>
  <c r="I423" i="1" s="1"/>
  <c r="H423" i="1" s="1"/>
  <c r="G424" i="1"/>
  <c r="I424" i="1" s="1"/>
  <c r="H424" i="1" s="1"/>
  <c r="G425" i="1"/>
  <c r="I425" i="1" s="1"/>
  <c r="H425" i="1" s="1"/>
  <c r="G426" i="1"/>
  <c r="I426" i="1" s="1"/>
  <c r="H426" i="1" s="1"/>
  <c r="G427" i="1"/>
  <c r="I427" i="1" s="1"/>
  <c r="H427" i="1" s="1"/>
  <c r="G428" i="1"/>
  <c r="I428" i="1" s="1"/>
  <c r="H428" i="1" s="1"/>
  <c r="G429" i="1"/>
  <c r="I429" i="1" s="1"/>
  <c r="H429" i="1" s="1"/>
  <c r="G430" i="1"/>
  <c r="I430" i="1" s="1"/>
  <c r="H430" i="1" s="1"/>
  <c r="G431" i="1"/>
  <c r="I431" i="1" s="1"/>
  <c r="H431" i="1" s="1"/>
  <c r="G432" i="1"/>
  <c r="I432" i="1" s="1"/>
  <c r="H432" i="1" s="1"/>
  <c r="G433" i="1"/>
  <c r="I433" i="1" s="1"/>
  <c r="H433" i="1" s="1"/>
  <c r="G434" i="1"/>
  <c r="I434" i="1" s="1"/>
  <c r="H434" i="1" s="1"/>
  <c r="G435" i="1"/>
  <c r="I435" i="1" s="1"/>
  <c r="H435" i="1" s="1"/>
  <c r="G436" i="1"/>
  <c r="I436" i="1" s="1"/>
  <c r="H436" i="1" s="1"/>
  <c r="G437" i="1"/>
  <c r="I437" i="1" s="1"/>
  <c r="H437" i="1" s="1"/>
  <c r="G438" i="1"/>
  <c r="I438" i="1" s="1"/>
  <c r="H438" i="1" s="1"/>
  <c r="G439" i="1"/>
  <c r="I439" i="1" s="1"/>
  <c r="H439" i="1" s="1"/>
  <c r="G440" i="1"/>
  <c r="I440" i="1" s="1"/>
  <c r="H440" i="1" s="1"/>
  <c r="G441" i="1"/>
  <c r="I441" i="1" s="1"/>
  <c r="H441" i="1" s="1"/>
  <c r="G442" i="1"/>
  <c r="I442" i="1" s="1"/>
  <c r="H442" i="1" s="1"/>
  <c r="G443" i="1"/>
  <c r="I443" i="1" s="1"/>
  <c r="H443" i="1" s="1"/>
  <c r="G444" i="1"/>
  <c r="I444" i="1" s="1"/>
  <c r="H444" i="1" s="1"/>
  <c r="G445" i="1"/>
  <c r="I445" i="1" s="1"/>
  <c r="H445" i="1" s="1"/>
  <c r="G446" i="1"/>
  <c r="I446" i="1" s="1"/>
  <c r="H446" i="1" s="1"/>
  <c r="G447" i="1"/>
  <c r="I447" i="1" s="1"/>
  <c r="H447" i="1" s="1"/>
  <c r="G448" i="1"/>
  <c r="I448" i="1" s="1"/>
  <c r="H448" i="1" s="1"/>
  <c r="G449" i="1"/>
  <c r="I449" i="1" s="1"/>
  <c r="H449" i="1" s="1"/>
  <c r="G450" i="1"/>
  <c r="I450" i="1" s="1"/>
  <c r="H450" i="1" s="1"/>
  <c r="G451" i="1"/>
  <c r="I451" i="1" s="1"/>
  <c r="H451" i="1" s="1"/>
  <c r="G452" i="1"/>
  <c r="I452" i="1" s="1"/>
  <c r="H452" i="1" s="1"/>
  <c r="G453" i="1"/>
  <c r="I453" i="1" s="1"/>
  <c r="H453" i="1" s="1"/>
  <c r="G454" i="1"/>
  <c r="I454" i="1" s="1"/>
  <c r="H454" i="1" s="1"/>
  <c r="G455" i="1"/>
  <c r="I455" i="1" s="1"/>
  <c r="H455" i="1" s="1"/>
  <c r="G456" i="1"/>
  <c r="I456" i="1" s="1"/>
  <c r="H456" i="1" s="1"/>
  <c r="G457" i="1"/>
  <c r="I457" i="1" s="1"/>
  <c r="H457" i="1" s="1"/>
  <c r="G458" i="1"/>
  <c r="I458" i="1" s="1"/>
  <c r="H458" i="1" s="1"/>
  <c r="G459" i="1"/>
  <c r="I459" i="1" s="1"/>
  <c r="H459" i="1" s="1"/>
  <c r="G460" i="1"/>
  <c r="I460" i="1" s="1"/>
  <c r="H460" i="1" s="1"/>
  <c r="G461" i="1"/>
  <c r="I461" i="1" s="1"/>
  <c r="H461" i="1" s="1"/>
  <c r="G462" i="1"/>
  <c r="I462" i="1" s="1"/>
  <c r="H462" i="1" s="1"/>
  <c r="G463" i="1"/>
  <c r="I463" i="1" s="1"/>
  <c r="H463" i="1" s="1"/>
  <c r="G464" i="1"/>
  <c r="I464" i="1" s="1"/>
  <c r="H464" i="1" s="1"/>
  <c r="G465" i="1"/>
  <c r="I465" i="1" s="1"/>
  <c r="H465" i="1" s="1"/>
  <c r="G466" i="1"/>
  <c r="I466" i="1" s="1"/>
  <c r="H466" i="1" s="1"/>
  <c r="G467" i="1"/>
  <c r="I467" i="1" s="1"/>
  <c r="H467" i="1" s="1"/>
  <c r="G468" i="1"/>
  <c r="I468" i="1" s="1"/>
  <c r="H468" i="1" s="1"/>
  <c r="G469" i="1"/>
  <c r="I469" i="1" s="1"/>
  <c r="H469" i="1" s="1"/>
  <c r="G470" i="1"/>
  <c r="I470" i="1" s="1"/>
  <c r="H470" i="1" s="1"/>
  <c r="G471" i="1"/>
  <c r="I471" i="1" s="1"/>
  <c r="H471" i="1" s="1"/>
  <c r="G472" i="1"/>
  <c r="I472" i="1" s="1"/>
  <c r="H472" i="1" s="1"/>
  <c r="G473" i="1"/>
  <c r="I473" i="1" s="1"/>
  <c r="H473" i="1" s="1"/>
  <c r="G474" i="1"/>
  <c r="I474" i="1" s="1"/>
  <c r="H474" i="1" s="1"/>
  <c r="G475" i="1"/>
  <c r="I475" i="1" s="1"/>
  <c r="H475" i="1" s="1"/>
  <c r="G476" i="1"/>
  <c r="I476" i="1" s="1"/>
  <c r="H476" i="1" s="1"/>
  <c r="G477" i="1"/>
  <c r="I477" i="1" s="1"/>
  <c r="H477" i="1" s="1"/>
  <c r="G478" i="1"/>
  <c r="I478" i="1" s="1"/>
  <c r="H478" i="1" s="1"/>
  <c r="G479" i="1"/>
  <c r="I479" i="1" s="1"/>
  <c r="H479" i="1" s="1"/>
  <c r="G480" i="1"/>
  <c r="I480" i="1" s="1"/>
  <c r="H480" i="1" s="1"/>
  <c r="G481" i="1"/>
  <c r="I481" i="1" s="1"/>
  <c r="H481" i="1" s="1"/>
  <c r="G482" i="1"/>
  <c r="I482" i="1" s="1"/>
  <c r="H482" i="1" s="1"/>
  <c r="G483" i="1"/>
  <c r="I483" i="1" s="1"/>
  <c r="H483" i="1" s="1"/>
  <c r="G484" i="1"/>
  <c r="I484" i="1" s="1"/>
  <c r="H484" i="1" s="1"/>
  <c r="G485" i="1"/>
  <c r="I485" i="1" s="1"/>
  <c r="H485" i="1" s="1"/>
  <c r="G486" i="1"/>
  <c r="I486" i="1" s="1"/>
  <c r="H486" i="1" s="1"/>
  <c r="G487" i="1"/>
  <c r="I487" i="1" s="1"/>
  <c r="H487" i="1" s="1"/>
  <c r="G488" i="1"/>
  <c r="I488" i="1" s="1"/>
  <c r="H488" i="1" s="1"/>
  <c r="G489" i="1"/>
  <c r="I489" i="1" s="1"/>
  <c r="H489" i="1" s="1"/>
  <c r="G490" i="1"/>
  <c r="I490" i="1" s="1"/>
  <c r="H490" i="1" s="1"/>
  <c r="G491" i="1"/>
  <c r="I491" i="1" s="1"/>
  <c r="H491" i="1" s="1"/>
  <c r="G492" i="1"/>
  <c r="I492" i="1" s="1"/>
  <c r="H492" i="1" s="1"/>
  <c r="G493" i="1"/>
  <c r="I493" i="1" s="1"/>
  <c r="H493" i="1" s="1"/>
  <c r="G494" i="1"/>
  <c r="I494" i="1" s="1"/>
  <c r="H494" i="1" s="1"/>
  <c r="G495" i="1"/>
  <c r="I495" i="1" s="1"/>
  <c r="H495" i="1" s="1"/>
  <c r="G496" i="1"/>
  <c r="I496" i="1" s="1"/>
  <c r="H496" i="1" s="1"/>
  <c r="G497" i="1"/>
  <c r="I497" i="1" s="1"/>
  <c r="H497" i="1" s="1"/>
  <c r="G498" i="1"/>
  <c r="I498" i="1" s="1"/>
  <c r="H498" i="1" s="1"/>
  <c r="G499" i="1"/>
  <c r="I499" i="1" s="1"/>
  <c r="H499" i="1" s="1"/>
  <c r="G500" i="1"/>
  <c r="I500" i="1" s="1"/>
  <c r="H500" i="1" s="1"/>
  <c r="G501" i="1"/>
  <c r="I501" i="1" s="1"/>
  <c r="H501" i="1" s="1"/>
  <c r="G502" i="1"/>
  <c r="I502" i="1" s="1"/>
  <c r="H502" i="1" s="1"/>
  <c r="G503" i="1"/>
  <c r="I503" i="1" s="1"/>
  <c r="H503" i="1" s="1"/>
  <c r="G504" i="1"/>
  <c r="I504" i="1" s="1"/>
  <c r="H504" i="1" s="1"/>
  <c r="G505" i="1"/>
  <c r="I505" i="1" s="1"/>
  <c r="H505" i="1" s="1"/>
  <c r="G506" i="1"/>
  <c r="I506" i="1" s="1"/>
  <c r="H506" i="1" s="1"/>
  <c r="G507" i="1"/>
  <c r="I507" i="1" s="1"/>
  <c r="H507" i="1" s="1"/>
  <c r="G508" i="1"/>
  <c r="I508" i="1" s="1"/>
  <c r="H508" i="1" s="1"/>
  <c r="G509" i="1"/>
  <c r="I509" i="1" s="1"/>
  <c r="H509" i="1" s="1"/>
  <c r="G510" i="1"/>
  <c r="I510" i="1" s="1"/>
  <c r="H510" i="1" s="1"/>
  <c r="G511" i="1"/>
  <c r="I511" i="1" s="1"/>
  <c r="H511" i="1" s="1"/>
  <c r="G512" i="1"/>
  <c r="I512" i="1" s="1"/>
  <c r="H512" i="1" s="1"/>
  <c r="G513" i="1"/>
  <c r="I513" i="1" s="1"/>
  <c r="H513" i="1" s="1"/>
  <c r="G514" i="1"/>
  <c r="I514" i="1" s="1"/>
  <c r="H514" i="1" s="1"/>
  <c r="G515" i="1"/>
  <c r="I515" i="1" s="1"/>
  <c r="H515" i="1" s="1"/>
  <c r="G516" i="1"/>
  <c r="I516" i="1" s="1"/>
  <c r="H516" i="1" s="1"/>
  <c r="G517" i="1"/>
  <c r="I517" i="1" s="1"/>
  <c r="H517" i="1" s="1"/>
  <c r="G518" i="1"/>
  <c r="I518" i="1" s="1"/>
  <c r="H518" i="1" s="1"/>
  <c r="G519" i="1"/>
  <c r="I519" i="1" s="1"/>
  <c r="H519" i="1" s="1"/>
  <c r="G520" i="1"/>
  <c r="I520" i="1" s="1"/>
  <c r="H520" i="1" s="1"/>
  <c r="G521" i="1"/>
  <c r="I521" i="1" s="1"/>
  <c r="H521" i="1" s="1"/>
  <c r="G522" i="1"/>
  <c r="I522" i="1" s="1"/>
  <c r="H522" i="1" s="1"/>
  <c r="G523" i="1"/>
  <c r="I523" i="1" s="1"/>
  <c r="H523" i="1" s="1"/>
  <c r="G524" i="1"/>
  <c r="I524" i="1" s="1"/>
  <c r="H524" i="1" s="1"/>
  <c r="G525" i="1"/>
  <c r="I525" i="1" s="1"/>
  <c r="H525" i="1" s="1"/>
  <c r="G526" i="1"/>
  <c r="I526" i="1" s="1"/>
  <c r="H526" i="1" s="1"/>
  <c r="G527" i="1"/>
  <c r="I527" i="1" s="1"/>
  <c r="H527" i="1" s="1"/>
  <c r="G528" i="1"/>
  <c r="I528" i="1" s="1"/>
  <c r="H528" i="1" s="1"/>
  <c r="G529" i="1"/>
  <c r="I529" i="1" s="1"/>
  <c r="H529" i="1" s="1"/>
  <c r="G530" i="1"/>
  <c r="I530" i="1" s="1"/>
  <c r="H530" i="1" s="1"/>
  <c r="G531" i="1"/>
  <c r="I531" i="1" s="1"/>
  <c r="H531" i="1" s="1"/>
  <c r="G532" i="1"/>
  <c r="I532" i="1" s="1"/>
  <c r="H532" i="1" s="1"/>
  <c r="G533" i="1"/>
  <c r="I533" i="1" s="1"/>
  <c r="H533" i="1" s="1"/>
  <c r="G534" i="1"/>
  <c r="I534" i="1" s="1"/>
  <c r="H534" i="1" s="1"/>
  <c r="G535" i="1"/>
  <c r="I535" i="1" s="1"/>
  <c r="H535" i="1" s="1"/>
  <c r="G536" i="1"/>
  <c r="I536" i="1" s="1"/>
  <c r="H536" i="1" s="1"/>
  <c r="G537" i="1"/>
  <c r="I537" i="1" s="1"/>
  <c r="H537" i="1" s="1"/>
  <c r="G538" i="1"/>
  <c r="I538" i="1" s="1"/>
  <c r="H538" i="1" s="1"/>
  <c r="G539" i="1"/>
  <c r="I539" i="1" s="1"/>
  <c r="H539" i="1" s="1"/>
  <c r="G540" i="1"/>
  <c r="I540" i="1" s="1"/>
  <c r="H540" i="1" s="1"/>
  <c r="G541" i="1"/>
  <c r="I541" i="1" s="1"/>
  <c r="H541" i="1" s="1"/>
  <c r="G542" i="1"/>
  <c r="I542" i="1" s="1"/>
  <c r="H542" i="1" s="1"/>
  <c r="G543" i="1"/>
  <c r="I543" i="1" s="1"/>
  <c r="H543" i="1" s="1"/>
  <c r="G544" i="1"/>
  <c r="I544" i="1" s="1"/>
  <c r="H544" i="1" s="1"/>
  <c r="G545" i="1"/>
  <c r="I545" i="1" s="1"/>
  <c r="H545" i="1" s="1"/>
  <c r="G546" i="1"/>
  <c r="I546" i="1" s="1"/>
  <c r="H546" i="1" s="1"/>
  <c r="G547" i="1"/>
  <c r="I547" i="1" s="1"/>
  <c r="H547" i="1" s="1"/>
  <c r="G548" i="1"/>
  <c r="I548" i="1" s="1"/>
  <c r="H548" i="1" s="1"/>
  <c r="G549" i="1"/>
  <c r="I549" i="1" s="1"/>
  <c r="H549" i="1" s="1"/>
  <c r="G550" i="1"/>
  <c r="I550" i="1" s="1"/>
  <c r="H550" i="1" s="1"/>
  <c r="G551" i="1"/>
  <c r="I551" i="1" s="1"/>
  <c r="H551" i="1" s="1"/>
  <c r="G552" i="1"/>
  <c r="I552" i="1" s="1"/>
  <c r="H552" i="1" s="1"/>
  <c r="G553" i="1"/>
  <c r="I553" i="1" s="1"/>
  <c r="H553" i="1" s="1"/>
  <c r="G554" i="1"/>
  <c r="I554" i="1" s="1"/>
  <c r="H554" i="1" s="1"/>
  <c r="G555" i="1"/>
  <c r="I555" i="1" s="1"/>
  <c r="H555" i="1" s="1"/>
  <c r="G6" i="1"/>
  <c r="I6" i="1" s="1"/>
  <c r="H6" i="1" s="1"/>
  <c r="K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EE2DA3-F00B-49FC-8BB7-5D284171183C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<sst xmlns="http://schemas.openxmlformats.org/spreadsheetml/2006/main" count="4593" uniqueCount="498">
  <si>
    <t>Student Loan Dataset from Goldsmine Microfinance Bank.</t>
  </si>
  <si>
    <t>Exercise.</t>
  </si>
  <si>
    <t>2 create a new column for monthly installment payment by each of the students</t>
  </si>
  <si>
    <t>3 create a new column for the cost of borrowing( interest amount)</t>
  </si>
  <si>
    <t>4 create a new column for total amount to be paid back by each student</t>
  </si>
  <si>
    <t>5 calculate the total amount of loan disbursed by the Bank</t>
  </si>
  <si>
    <t>6 calculate total profit expected by the bank on this disbursement.</t>
  </si>
  <si>
    <t>Ensure to clean up your data and remove Duplicates and all amount in Nigerian Currency.</t>
  </si>
  <si>
    <t>Name</t>
  </si>
  <si>
    <t xml:space="preserve"> Age</t>
  </si>
  <si>
    <t xml:space="preserve"> Higher Institution</t>
  </si>
  <si>
    <t xml:space="preserve"> Loan amount</t>
  </si>
  <si>
    <t xml:space="preserve"> period(months)</t>
  </si>
  <si>
    <t xml:space="preserve"> interest rate</t>
  </si>
  <si>
    <t>Aisha Abdullahi</t>
  </si>
  <si>
    <t xml:space="preserve"> Federal University of Technology Akure</t>
  </si>
  <si>
    <t>Yusuf Mohammed</t>
  </si>
  <si>
    <t xml:space="preserve"> University of Ilorin</t>
  </si>
  <si>
    <t>Oluwaseun Salami</t>
  </si>
  <si>
    <t xml:space="preserve"> University of Port Harcourt</t>
  </si>
  <si>
    <t>Yusuf Eze</t>
  </si>
  <si>
    <t xml:space="preserve"> Obafemi Awolowo University</t>
  </si>
  <si>
    <t>Oluwaseun Lawal</t>
  </si>
  <si>
    <t xml:space="preserve"> Bayero University Kano</t>
  </si>
  <si>
    <t>Oluwaseun Ojo</t>
  </si>
  <si>
    <t xml:space="preserve"> University of Benin</t>
  </si>
  <si>
    <t>Paul Nwankwo</t>
  </si>
  <si>
    <t xml:space="preserve"> Covenant University</t>
  </si>
  <si>
    <t>Hassan Salami</t>
  </si>
  <si>
    <t>Tunde Salami</t>
  </si>
  <si>
    <t>Aisha Ogunleye</t>
  </si>
  <si>
    <t xml:space="preserve"> University of Nigeria Nsukka</t>
  </si>
  <si>
    <t>Sola Ojo</t>
  </si>
  <si>
    <t xml:space="preserve"> University of Lagos</t>
  </si>
  <si>
    <t>David Abdullahi</t>
  </si>
  <si>
    <t>Emeka Okeke</t>
  </si>
  <si>
    <t xml:space="preserve"> Nnamdi Azikiwe University</t>
  </si>
  <si>
    <t>Mary Adebayo</t>
  </si>
  <si>
    <t>Chinedu Adeyemi</t>
  </si>
  <si>
    <t>Zainab Yakubu</t>
  </si>
  <si>
    <t>Oluwaseun Aliyu</t>
  </si>
  <si>
    <t>Sadiq Adeyemi</t>
  </si>
  <si>
    <t>Samuel Adeyemi</t>
  </si>
  <si>
    <t>Sola Ibrahim</t>
  </si>
  <si>
    <t>Hassan Aliyu</t>
  </si>
  <si>
    <t xml:space="preserve"> Ekiti State University</t>
  </si>
  <si>
    <t>Aisha Eze</t>
  </si>
  <si>
    <t>Aisha Salami</t>
  </si>
  <si>
    <t>Zainab Ogunleye</t>
  </si>
  <si>
    <t>Mary Lawal</t>
  </si>
  <si>
    <t xml:space="preserve"> Lagos State University</t>
  </si>
  <si>
    <t>Mary Salami</t>
  </si>
  <si>
    <t>Emeka Eze</t>
  </si>
  <si>
    <t>Samuel Salami</t>
  </si>
  <si>
    <t>Esther Mohammed</t>
  </si>
  <si>
    <t>Chinedu Aliyu</t>
  </si>
  <si>
    <t>David Usman</t>
  </si>
  <si>
    <t>Chinedu Lawal</t>
  </si>
  <si>
    <t>Oluwaseun Ibrahim</t>
  </si>
  <si>
    <t>Ngozi Balogun</t>
  </si>
  <si>
    <t>Esther Lawal</t>
  </si>
  <si>
    <t>Aisha Ibrahim</t>
  </si>
  <si>
    <t xml:space="preserve"> University of Ibadan</t>
  </si>
  <si>
    <t>Hassan Usman</t>
  </si>
  <si>
    <t>Ngozi Danladi</t>
  </si>
  <si>
    <t>Oluwaseun Olatunji</t>
  </si>
  <si>
    <t>Sadiq Ibrahim</t>
  </si>
  <si>
    <t>Hassan Lawal</t>
  </si>
  <si>
    <t>Sadiq Ojo</t>
  </si>
  <si>
    <t>Samuel Okeke</t>
  </si>
  <si>
    <t>Aisha Danladi</t>
  </si>
  <si>
    <t>Zainab Adebayo</t>
  </si>
  <si>
    <t xml:space="preserve"> Ahmadu Bello University</t>
  </si>
  <si>
    <t>Zainab Abdullahi</t>
  </si>
  <si>
    <t>Yusuf Olatunji</t>
  </si>
  <si>
    <t>Esther Ogunleye</t>
  </si>
  <si>
    <t>Chinedu Danladi</t>
  </si>
  <si>
    <t>Zainab Ogun</t>
  </si>
  <si>
    <t>Emeka Nwankwo</t>
  </si>
  <si>
    <t xml:space="preserve"> Delta State University</t>
  </si>
  <si>
    <t>Yusuf Adeyemi</t>
  </si>
  <si>
    <t>Oluwaseun Nwankwo</t>
  </si>
  <si>
    <t>Aisha Ogun</t>
  </si>
  <si>
    <t>Samuel Lawal</t>
  </si>
  <si>
    <t>Paul Adeyemi</t>
  </si>
  <si>
    <t>Emeka Mohammed</t>
  </si>
  <si>
    <t>Samuel Danladi</t>
  </si>
  <si>
    <t>Aisha Nwankwo</t>
  </si>
  <si>
    <t>Blessing Ogun</t>
  </si>
  <si>
    <t>Esther Ibrahim</t>
  </si>
  <si>
    <t>Oluwaseun Adeyemi</t>
  </si>
  <si>
    <t>Fatima Lawal</t>
  </si>
  <si>
    <t>Fatima Eze</t>
  </si>
  <si>
    <t>Sola Nwankwo</t>
  </si>
  <si>
    <t>Chinedu Ogunleye</t>
  </si>
  <si>
    <t>Esther Abdullahi</t>
  </si>
  <si>
    <t>Ngozi Mohammed</t>
  </si>
  <si>
    <t>Fatima Ibrahim</t>
  </si>
  <si>
    <t>Esther Yakubu</t>
  </si>
  <si>
    <t>Tunde Balogun</t>
  </si>
  <si>
    <t>Oluwaseun Danladi</t>
  </si>
  <si>
    <t>David Olatunji</t>
  </si>
  <si>
    <t>Paul Okafor</t>
  </si>
  <si>
    <t>David Okafor</t>
  </si>
  <si>
    <t>Sola Okafor</t>
  </si>
  <si>
    <t>Yusuf Balogun</t>
  </si>
  <si>
    <t>Esther Ogun</t>
  </si>
  <si>
    <t>Ngozi Abdullahi</t>
  </si>
  <si>
    <t>Sola Eze</t>
  </si>
  <si>
    <t>Paul Lawal</t>
  </si>
  <si>
    <t>Ngozi Nwankwo</t>
  </si>
  <si>
    <t>Emeka Usman</t>
  </si>
  <si>
    <t>David Yakubu</t>
  </si>
  <si>
    <t>Mary Olatunji</t>
  </si>
  <si>
    <t>Ngozi Adebayo</t>
  </si>
  <si>
    <t>Aisha Olatunji</t>
  </si>
  <si>
    <t>Ngozi Ibrahim</t>
  </si>
  <si>
    <t>Esther Usman</t>
  </si>
  <si>
    <t>Aisha Adeyemi</t>
  </si>
  <si>
    <t>Emeka Adeyemi</t>
  </si>
  <si>
    <t>Sola Adebayo</t>
  </si>
  <si>
    <t>Fatima Ojo</t>
  </si>
  <si>
    <t>Yusuf Usman</t>
  </si>
  <si>
    <t>Samuel Aliyu</t>
  </si>
  <si>
    <t>Ngozi Adeyemi</t>
  </si>
  <si>
    <t>Tunde Okafor</t>
  </si>
  <si>
    <t>Mary Mohammed</t>
  </si>
  <si>
    <t>Kehinde Ogun</t>
  </si>
  <si>
    <t>Blessing Eze</t>
  </si>
  <si>
    <t>Kehinde Aliyu</t>
  </si>
  <si>
    <t>Ngozi Ojo</t>
  </si>
  <si>
    <t>Sadiq Usman</t>
  </si>
  <si>
    <t>Emeka Aliyu</t>
  </si>
  <si>
    <t>Ibrahim Ibrahim</t>
  </si>
  <si>
    <t>Paul Adebayo</t>
  </si>
  <si>
    <t>Mary Abdullahi</t>
  </si>
  <si>
    <t>Ngozi Okafor</t>
  </si>
  <si>
    <t>Yusuf Ogun</t>
  </si>
  <si>
    <t>Tunde Ojo</t>
  </si>
  <si>
    <t>Aisha Lawal</t>
  </si>
  <si>
    <t>Hassan Ibrahim</t>
  </si>
  <si>
    <t>Tunde Ibrahim</t>
  </si>
  <si>
    <t>Esther Danladi</t>
  </si>
  <si>
    <t>Oluwaseun Balogun</t>
  </si>
  <si>
    <t>Esther Adebayo</t>
  </si>
  <si>
    <t>David Ojo</t>
  </si>
  <si>
    <t>Aisha Usman</t>
  </si>
  <si>
    <t>Sadiq Ogun</t>
  </si>
  <si>
    <t>Emeka Okafor</t>
  </si>
  <si>
    <t>Paul Ogunleye</t>
  </si>
  <si>
    <t>Aisha Adebayo</t>
  </si>
  <si>
    <t>Sola Mohammed</t>
  </si>
  <si>
    <t>Sola Abdullahi</t>
  </si>
  <si>
    <t>Zainab Danladi</t>
  </si>
  <si>
    <t>David Ogunleye</t>
  </si>
  <si>
    <t>Chinedu Mohammed</t>
  </si>
  <si>
    <t>Paul Ojo</t>
  </si>
  <si>
    <t>Ibrahim Ogun</t>
  </si>
  <si>
    <t>Sola Danladi</t>
  </si>
  <si>
    <t>Ngozi Olatunji</t>
  </si>
  <si>
    <t>Ibrahim Balogun</t>
  </si>
  <si>
    <t>Ibrahim Abdullahi</t>
  </si>
  <si>
    <t>Chinedu Adebayo</t>
  </si>
  <si>
    <t>Aisha Mohammed</t>
  </si>
  <si>
    <t>Hassan Okeke</t>
  </si>
  <si>
    <t>Tunde Abdullahi</t>
  </si>
  <si>
    <t>Sadiq Lawal</t>
  </si>
  <si>
    <t>Paul Danladi</t>
  </si>
  <si>
    <t>Emeka Ogunleye</t>
  </si>
  <si>
    <t>David Salami</t>
  </si>
  <si>
    <t>Paul Yakubu</t>
  </si>
  <si>
    <t>Paul Salami</t>
  </si>
  <si>
    <t>Sadiq Aliyu</t>
  </si>
  <si>
    <t>Kehinde Adeyemi</t>
  </si>
  <si>
    <t>David Ibrahim</t>
  </si>
  <si>
    <t>Fatima Danladi</t>
  </si>
  <si>
    <t>Yusuf Ibrahim</t>
  </si>
  <si>
    <t>Blessing Abdullahi</t>
  </si>
  <si>
    <t>Chinedu Ogun</t>
  </si>
  <si>
    <t>Esther Salami</t>
  </si>
  <si>
    <t>Yusuf Yakubu</t>
  </si>
  <si>
    <t>Yusuf Adebayo</t>
  </si>
  <si>
    <t>Kehinde Yakubu</t>
  </si>
  <si>
    <t>David Nwankwo</t>
  </si>
  <si>
    <t>Ngozi Salami</t>
  </si>
  <si>
    <t>David Aliyu</t>
  </si>
  <si>
    <t>Ibrahim Ogunleye</t>
  </si>
  <si>
    <t>Samuel Ogunleye</t>
  </si>
  <si>
    <t>David Eze</t>
  </si>
  <si>
    <t>Mary Yakubu</t>
  </si>
  <si>
    <t>Chinedu Abdullahi</t>
  </si>
  <si>
    <t>Ibrahim Danladi</t>
  </si>
  <si>
    <t>Sola Olatunji</t>
  </si>
  <si>
    <t>Sola Adeyemi</t>
  </si>
  <si>
    <t>Tunde Eze</t>
  </si>
  <si>
    <t>Sola Salami</t>
  </si>
  <si>
    <t>Kehinde Usman</t>
  </si>
  <si>
    <t>Blessing Okafor</t>
  </si>
  <si>
    <t>Sola Ogun</t>
  </si>
  <si>
    <t>Kehinde Okafor</t>
  </si>
  <si>
    <t>Chinedu Olatunji</t>
  </si>
  <si>
    <t>Aisha Yakubu</t>
  </si>
  <si>
    <t>Fatima Yakubu</t>
  </si>
  <si>
    <t>Samuel Yakubu</t>
  </si>
  <si>
    <t>Tunde Olatunji</t>
  </si>
  <si>
    <t>Emeka Adebayo</t>
  </si>
  <si>
    <t>Esther Nwankwo</t>
  </si>
  <si>
    <t>Sadiq Yakubu</t>
  </si>
  <si>
    <t>Emeka Abdullahi</t>
  </si>
  <si>
    <t>Esther Okafor</t>
  </si>
  <si>
    <t>Kehinde Ibrahim</t>
  </si>
  <si>
    <t>Blessing Aliyu</t>
  </si>
  <si>
    <t>Ibrahim Olatunji</t>
  </si>
  <si>
    <t>Zainab Lawal</t>
  </si>
  <si>
    <t>Oluwaseun Mohammed</t>
  </si>
  <si>
    <t>Sadiq Okafor</t>
  </si>
  <si>
    <t>Tunde Mohammed</t>
  </si>
  <si>
    <t>Ibrahim Salami</t>
  </si>
  <si>
    <t>David Adeyemi</t>
  </si>
  <si>
    <t>Hassan Abdullahi</t>
  </si>
  <si>
    <t>Kehinde Nwankwo</t>
  </si>
  <si>
    <t>Emeka Lawal</t>
  </si>
  <si>
    <t>Fatima Salami</t>
  </si>
  <si>
    <t>Blessing Yakubu</t>
  </si>
  <si>
    <t>Esther Okeke</t>
  </si>
  <si>
    <t>Ibrahim Ojo</t>
  </si>
  <si>
    <t>Sola Okeke</t>
  </si>
  <si>
    <t>Blessing Adebayo</t>
  </si>
  <si>
    <t>Kehinde Lawal</t>
  </si>
  <si>
    <t>Mary Okeke</t>
  </si>
  <si>
    <t>Ngozi Eze</t>
  </si>
  <si>
    <t>Zainab Ojo</t>
  </si>
  <si>
    <t>Kehinde Balogun</t>
  </si>
  <si>
    <t>Blessing Lawal</t>
  </si>
  <si>
    <t>Paul Olatunji</t>
  </si>
  <si>
    <t>Tunde Nwankwo</t>
  </si>
  <si>
    <t>Ibrahim Okafor</t>
  </si>
  <si>
    <t>Esther Ojo</t>
  </si>
  <si>
    <t>Oluwaseun Ogunleye</t>
  </si>
  <si>
    <t>Yusuf Ogunleye</t>
  </si>
  <si>
    <t>Fatima Ogun</t>
  </si>
  <si>
    <t>Esther Olatunji</t>
  </si>
  <si>
    <t>Samuel Adebayo</t>
  </si>
  <si>
    <t>Paul Ibrahim</t>
  </si>
  <si>
    <t>Yusuf Salami</t>
  </si>
  <si>
    <t>Blessing Adeyemi</t>
  </si>
  <si>
    <t>David Lawal</t>
  </si>
  <si>
    <t>Sadiq Eze</t>
  </si>
  <si>
    <t>Hassan Eze</t>
  </si>
  <si>
    <t>Oluwaseun Yakubu</t>
  </si>
  <si>
    <t>Tunde Adeyemi</t>
  </si>
  <si>
    <t>Oluwaseun Ogun</t>
  </si>
  <si>
    <t>Tunde Ogunleye</t>
  </si>
  <si>
    <t>Oluwaseun Adebayo</t>
  </si>
  <si>
    <t>Chinedu Nwankwo</t>
  </si>
  <si>
    <t>Sadiq Salami</t>
  </si>
  <si>
    <t>Paul Usman</t>
  </si>
  <si>
    <t>Hassan Adebayo</t>
  </si>
  <si>
    <t>Emeka Ibrahim</t>
  </si>
  <si>
    <t>Blessing Ojo</t>
  </si>
  <si>
    <t>Mary Balogun</t>
  </si>
  <si>
    <t>Sola Lawal</t>
  </si>
  <si>
    <t>Blessing Danladi</t>
  </si>
  <si>
    <t>Paul Okeke</t>
  </si>
  <si>
    <t>Hassan Olatunji</t>
  </si>
  <si>
    <t>Ibrahim Eze</t>
  </si>
  <si>
    <t>Samuel Abdullahi</t>
  </si>
  <si>
    <t>Kehinde Ogunleye</t>
  </si>
  <si>
    <t>Zainab Mohammed</t>
  </si>
  <si>
    <t>Chinedu Okafor</t>
  </si>
  <si>
    <t>Blessing Salami</t>
  </si>
  <si>
    <t>Mary Usman</t>
  </si>
  <si>
    <t>Fatima Adebayo</t>
  </si>
  <si>
    <t>Zainab Aliyu</t>
  </si>
  <si>
    <t>Aisha Okeke</t>
  </si>
  <si>
    <t>Sola Balogun</t>
  </si>
  <si>
    <t>Zainab Eze</t>
  </si>
  <si>
    <t>Chinedu Yakubu</t>
  </si>
  <si>
    <t>Ibrahim Usman</t>
  </si>
  <si>
    <t>Tunde Usman</t>
  </si>
  <si>
    <t>Samuel Nwankwo</t>
  </si>
  <si>
    <t>Fatima Ogunleye</t>
  </si>
  <si>
    <t>Aisha Aliyu</t>
  </si>
  <si>
    <t>Blessing Mohammed</t>
  </si>
  <si>
    <t>Paul Eze</t>
  </si>
  <si>
    <t>Samuel Ibrahim</t>
  </si>
  <si>
    <t>Samuel Usman</t>
  </si>
  <si>
    <t>Ngozi Ogunleye</t>
  </si>
  <si>
    <t>Blessing Olatunji</t>
  </si>
  <si>
    <t>Hassan Mohammed</t>
  </si>
  <si>
    <t>Yusuf Okafor</t>
  </si>
  <si>
    <t>Chinedu Eze</t>
  </si>
  <si>
    <t>Tunde Danladi</t>
  </si>
  <si>
    <t>Ibrahim Adebayo</t>
  </si>
  <si>
    <t>Tunde Lawal</t>
  </si>
  <si>
    <t>Sadiq Okeke</t>
  </si>
  <si>
    <t>Fatima Nwankwo</t>
  </si>
  <si>
    <t>Paul Abdullahi</t>
  </si>
  <si>
    <t>Chinedu Ojo</t>
  </si>
  <si>
    <t>Samuel Mohammed</t>
  </si>
  <si>
    <t>Zainab Usman</t>
  </si>
  <si>
    <t>Samuel Okafor</t>
  </si>
  <si>
    <t>Ibrahim Adeyemi</t>
  </si>
  <si>
    <t>Fatima Abdullahi</t>
  </si>
  <si>
    <t>Ibrahim Aliyu</t>
  </si>
  <si>
    <t>Samuel Olatunji</t>
  </si>
  <si>
    <t>Ngozi Lawal</t>
  </si>
  <si>
    <t>Esther Balogun</t>
  </si>
  <si>
    <t>Oluwaseun Abdullahi</t>
  </si>
  <si>
    <t>Esther Eze</t>
  </si>
  <si>
    <t>Tunde Yakubu</t>
  </si>
  <si>
    <t>Sola Usman</t>
  </si>
  <si>
    <t>Paul Balogun</t>
  </si>
  <si>
    <t>Sadiq Danladi</t>
  </si>
  <si>
    <t>Paul Ogun</t>
  </si>
  <si>
    <t>Fatima Okafor</t>
  </si>
  <si>
    <t>Sadiq Adebayo</t>
  </si>
  <si>
    <t>Zainab Okeke</t>
  </si>
  <si>
    <t>Ibrahim Lawal</t>
  </si>
  <si>
    <t>Samuel Eze</t>
  </si>
  <si>
    <t>Esther Aliyu</t>
  </si>
  <si>
    <t>1 transform this dataset from word document to excel table format</t>
  </si>
  <si>
    <t>Monthly payment</t>
  </si>
  <si>
    <t>interest amount</t>
  </si>
  <si>
    <t>total amount to be paid</t>
  </si>
  <si>
    <t>total loan disbursed</t>
  </si>
  <si>
    <t>total profit</t>
  </si>
  <si>
    <t xml:space="preserve"> Bayero University,Kano</t>
  </si>
  <si>
    <t xml:space="preserve"> Bayero University, Kano</t>
  </si>
  <si>
    <t>Student Loan Dataset (Nigeria Universities) - 550 Students</t>
  </si>
  <si>
    <t xml:space="preserve"> 8month</t>
  </si>
  <si>
    <t>Kehinde Ojo</t>
  </si>
  <si>
    <t xml:space="preserve"> 9month</t>
  </si>
  <si>
    <t xml:space="preserve"> 6month</t>
  </si>
  <si>
    <t>Sadiq Ogunleye</t>
  </si>
  <si>
    <t>Ibrahim Yakubu</t>
  </si>
  <si>
    <t xml:space="preserve"> 7month</t>
  </si>
  <si>
    <t>Kehinde Danladi</t>
  </si>
  <si>
    <t xml:space="preserve"> 5month</t>
  </si>
  <si>
    <t>Yusuf Nwankwo</t>
  </si>
  <si>
    <t>Tunde Aliyu</t>
  </si>
  <si>
    <t>Aisha Balogun</t>
  </si>
  <si>
    <t>Emeka Balogun</t>
  </si>
  <si>
    <t>Chinedu Usman</t>
  </si>
  <si>
    <t>Esther Adeyemi</t>
  </si>
  <si>
    <t>Oluwaseun Eze</t>
  </si>
  <si>
    <t>Emeka Ojo</t>
  </si>
  <si>
    <t>Emeka Olatunji</t>
  </si>
  <si>
    <t>Fatima Usman</t>
  </si>
  <si>
    <t>Hassan Ojo</t>
  </si>
  <si>
    <t>Blessing Balogun</t>
  </si>
  <si>
    <t>Blessing Nwankwo</t>
  </si>
  <si>
    <t>Chinedu Ibrahim</t>
  </si>
  <si>
    <t>Emeka Ogun</t>
  </si>
  <si>
    <t>Kehinde Adebayo</t>
  </si>
  <si>
    <t>Emeka Yakubu</t>
  </si>
  <si>
    <t>Yusuf Abdullahi</t>
  </si>
  <si>
    <t>Ngozi Ogun</t>
  </si>
  <si>
    <t>Kehinde Salami</t>
  </si>
  <si>
    <t>Chinedu Okeke</t>
  </si>
  <si>
    <t>Hassan Ogunleye</t>
  </si>
  <si>
    <t>Ibrahim Mohammed</t>
  </si>
  <si>
    <t>Fatima Olatunji</t>
  </si>
  <si>
    <t>Yusuf Ojo</t>
  </si>
  <si>
    <t>Zainab Okafor</t>
  </si>
  <si>
    <t>Chinedu Balogun</t>
  </si>
  <si>
    <t>Ibrahim Okeke</t>
  </si>
  <si>
    <t>Emeka Danladi</t>
  </si>
  <si>
    <t>Sola Ogunleye</t>
  </si>
  <si>
    <t>Zainab Nwankwo</t>
  </si>
  <si>
    <t>Hassan Yakubu</t>
  </si>
  <si>
    <t>Oluwaseun Okafor</t>
  </si>
  <si>
    <t>Yusuf Lawal</t>
  </si>
  <si>
    <t>Chinedu Salami</t>
  </si>
  <si>
    <t>Hassan Adeyemi</t>
  </si>
  <si>
    <t>Ngozi Usman</t>
  </si>
  <si>
    <t>Fatima Adeyemi</t>
  </si>
  <si>
    <t>Yusuf Okeke</t>
  </si>
  <si>
    <t>Sola Yakubu</t>
  </si>
  <si>
    <t>Sola Aliyu</t>
  </si>
  <si>
    <t>Kehinde Olatunji</t>
  </si>
  <si>
    <t>Paul Mohammed</t>
  </si>
  <si>
    <t>Fatima Okeke</t>
  </si>
  <si>
    <t>Paul Aliyu</t>
  </si>
  <si>
    <t>Mary Ogunleye</t>
  </si>
  <si>
    <t>Mary Aliyu</t>
  </si>
  <si>
    <t>Sadiq Balogun</t>
  </si>
  <si>
    <t>Fatima Mohammed</t>
  </si>
  <si>
    <t>Zainab Adeyemi</t>
  </si>
  <si>
    <t>David Ogun</t>
  </si>
  <si>
    <t>Fatima Aliyu</t>
  </si>
  <si>
    <t>Samuel Ogun</t>
  </si>
  <si>
    <t>David Danladi</t>
  </si>
  <si>
    <t>Mary Ojo</t>
  </si>
  <si>
    <t>Hassan Ogun</t>
  </si>
  <si>
    <t>Blessing Ibrahim</t>
  </si>
  <si>
    <t>Ngozi Aliyu</t>
  </si>
  <si>
    <t>Hassan Okafor</t>
  </si>
  <si>
    <t>Hassan Balogun</t>
  </si>
  <si>
    <t>Mary Ogun</t>
  </si>
  <si>
    <t>Blessing Usman</t>
  </si>
  <si>
    <t>Zainab Balogun</t>
  </si>
  <si>
    <t>Hassan Nwankwo</t>
  </si>
  <si>
    <t>Mary Adeyemi</t>
  </si>
  <si>
    <t>Aisha Ojo</t>
  </si>
  <si>
    <t>Tunde Okeke</t>
  </si>
  <si>
    <t>Yusuf Danladi</t>
  </si>
  <si>
    <t>Samuel Balogun</t>
  </si>
  <si>
    <t>Emeka Salami</t>
  </si>
  <si>
    <t>Sadiq Olatunji</t>
  </si>
  <si>
    <t>Zainab Salami</t>
  </si>
  <si>
    <t>Zainab Olatunji</t>
  </si>
  <si>
    <t>Tunde Ogun</t>
  </si>
  <si>
    <t>David Mohammed</t>
  </si>
  <si>
    <t>Sadiq Mohammed</t>
  </si>
  <si>
    <t>Zainab Ibrahim</t>
  </si>
  <si>
    <t>Column1</t>
  </si>
  <si>
    <t>Column2</t>
  </si>
  <si>
    <t>Column3</t>
  </si>
  <si>
    <t>Column4</t>
  </si>
  <si>
    <t>Column5</t>
  </si>
  <si>
    <t>Column6</t>
  </si>
  <si>
    <t xml:space="preserve"> 8</t>
  </si>
  <si>
    <t xml:space="preserve"> 9</t>
  </si>
  <si>
    <t xml:space="preserve"> 6</t>
  </si>
  <si>
    <t xml:space="preserve"> 7</t>
  </si>
  <si>
    <t xml:space="preserve"> 5</t>
  </si>
  <si>
    <t xml:space="preserve"> 8 month</t>
  </si>
  <si>
    <t xml:space="preserve"> 9 month</t>
  </si>
  <si>
    <t>SALES RECORD FORM</t>
  </si>
  <si>
    <t>PRODUCTS</t>
  </si>
  <si>
    <t>QUANTITY</t>
  </si>
  <si>
    <t>PRICE</t>
  </si>
  <si>
    <t>White bread</t>
  </si>
  <si>
    <t>Egg roll</t>
  </si>
  <si>
    <t>Shawarma</t>
  </si>
  <si>
    <t>Wheat bread</t>
  </si>
  <si>
    <t>Cake</t>
  </si>
  <si>
    <t xml:space="preserve">NAME </t>
  </si>
  <si>
    <t>PHONE NO.</t>
  </si>
  <si>
    <t>ADDRESS</t>
  </si>
  <si>
    <t>DATE</t>
  </si>
  <si>
    <t>ITEM</t>
  </si>
  <si>
    <t>PRICE/ITEM</t>
  </si>
  <si>
    <t>AMOUNT</t>
  </si>
  <si>
    <t>PAYMENT MODE</t>
  </si>
  <si>
    <t>DELIVERY MODE</t>
  </si>
  <si>
    <t>SALES REP</t>
  </si>
  <si>
    <t>TOLANI</t>
  </si>
  <si>
    <t>BODIJA</t>
  </si>
  <si>
    <t>WHITE BREAD_SHAWARMA_CAKE</t>
  </si>
  <si>
    <t>2_2_1</t>
  </si>
  <si>
    <t>1500_2000_15000</t>
  </si>
  <si>
    <t>CASH</t>
  </si>
  <si>
    <t>PERSONAL PICKUP</t>
  </si>
  <si>
    <t>AISHAH</t>
  </si>
  <si>
    <t>NAME</t>
  </si>
  <si>
    <t>PHIONE NO</t>
  </si>
  <si>
    <t>SALES RECORD FROM FORM</t>
  </si>
  <si>
    <t>CURRENT SALES ON FORM</t>
  </si>
  <si>
    <t>Tunji Aderopo</t>
  </si>
  <si>
    <t>DUGBE</t>
  </si>
  <si>
    <t>WHITE BREAD_EGG ROLL_SHAWARMA_WHEAT BREAD_CAKE</t>
  </si>
  <si>
    <t>6_12_5_0_2</t>
  </si>
  <si>
    <t>1500_500_2000_1700_15000</t>
  </si>
  <si>
    <t>CARD</t>
  </si>
  <si>
    <t>UBER</t>
  </si>
  <si>
    <t>TOLU</t>
  </si>
  <si>
    <t>OLAIYA BAKERY LTD</t>
  </si>
  <si>
    <t>AISHA ABDULKAREEM</t>
  </si>
  <si>
    <t>IDO</t>
  </si>
  <si>
    <t>EGG ROLL_SHARWARMA_WHEAT BREAD_CAKE</t>
  </si>
  <si>
    <t>2_5_2_2</t>
  </si>
  <si>
    <t>500_2000_1700_15000</t>
  </si>
  <si>
    <t>ADEBOYIN</t>
  </si>
  <si>
    <t xml:space="preserve">   </t>
  </si>
  <si>
    <t>CUSTOMER INFO</t>
  </si>
  <si>
    <t>PHONE</t>
  </si>
  <si>
    <t>PRODUCT</t>
  </si>
  <si>
    <t>PHONE NO</t>
  </si>
  <si>
    <t>SALES  REP</t>
  </si>
  <si>
    <t>WATER</t>
  </si>
  <si>
    <t>MALT</t>
  </si>
  <si>
    <t xml:space="preserve">  </t>
  </si>
  <si>
    <t>PEPSI</t>
  </si>
  <si>
    <t>BOLU</t>
  </si>
  <si>
    <t>FANTA</t>
  </si>
  <si>
    <t>COKE</t>
  </si>
  <si>
    <t>MARDIYYAH</t>
  </si>
  <si>
    <t>OLAITAN</t>
  </si>
  <si>
    <t>MALIKA</t>
  </si>
  <si>
    <t xml:space="preserve"> </t>
  </si>
  <si>
    <t>DISCOUNT ALLOWED</t>
  </si>
  <si>
    <t>DISCOUNTED PRICE</t>
  </si>
  <si>
    <t>TOTAL AMOUNT</t>
  </si>
  <si>
    <t>BALANCE</t>
  </si>
  <si>
    <t>ZAYNAB</t>
  </si>
  <si>
    <t>T0LU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</si>
</sst>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[$₦-46A]#,##0.00"/>
    <numFmt numFmtId="165" formatCode="_-[$₦-46A]* #,##0.00_-;\-[$₦-46A]* #,##0.00_-;_-[$₦-46A]* &quot;-&quot;??_-;_-@_-"/>
    <numFmt numFmtId="166" formatCode="[$-409]m/d/yy\ h:mm\ AM/PM;@"/>
    <numFmt numFmtId="167" formatCode="yyyy\-mm\-dd;@"/>
  </numFmts>
  <fonts count="11" x14ac:knownFonts="1">
    <font>
      <sz val="11"/>
      <color theme="1"/>
      <name val="Calibri"/>
      <family val="2"/>
      <scheme val="minor"/>
    </font>
    <font>
      <sz val="26"/>
      <color rgb="FF17365D"/>
      <name val="Calibri"/>
      <family val="2"/>
      <scheme val="minor"/>
    </font>
    <font>
      <sz val="11"/>
      <color theme="1"/>
      <name val="Cambria"/>
      <family val="1"/>
    </font>
    <font>
      <u/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6C3FF"/>
        <bgColor indexed="64"/>
      </patternFill>
    </fill>
    <fill>
      <patternFill patternType="solid">
        <fgColor theme="2" tint="-0.8999908444471571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4" fillId="0" borderId="0" xfId="0" applyFont="1" applyAlignment="1">
      <alignment vertical="center"/>
    </xf>
    <xf numFmtId="9" fontId="0" fillId="0" borderId="0" xfId="0" applyNumberFormat="1"/>
    <xf numFmtId="164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8" fontId="0" fillId="0" borderId="0" xfId="0" applyNumberFormat="1"/>
    <xf numFmtId="0" fontId="0" fillId="0" borderId="1" xfId="0" applyBorder="1"/>
    <xf numFmtId="166" fontId="0" fillId="0" borderId="0" xfId="0" applyNumberFormat="1"/>
    <xf numFmtId="0" fontId="0" fillId="7" borderId="0" xfId="0" applyFill="1"/>
    <xf numFmtId="0" fontId="6" fillId="7" borderId="0" xfId="0" applyFont="1" applyFill="1"/>
    <xf numFmtId="22" fontId="6" fillId="7" borderId="0" xfId="0" applyNumberFormat="1" applyFont="1" applyFill="1"/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22" fontId="0" fillId="2" borderId="1" xfId="0" applyNumberFormat="1" applyFill="1" applyBorder="1" applyProtection="1">
      <protection locked="0"/>
    </xf>
    <xf numFmtId="0" fontId="0" fillId="0" borderId="1" xfId="0" applyBorder="1" applyAlignment="1">
      <alignment horizontal="center"/>
    </xf>
    <xf numFmtId="167" fontId="0" fillId="0" borderId="0" xfId="0" applyNumberFormat="1"/>
    <xf numFmtId="0" fontId="8" fillId="0" borderId="0" xfId="0" applyFont="1"/>
    <xf numFmtId="0" fontId="0" fillId="0" borderId="0" xfId="0" applyProtection="1">
      <protection locked="0"/>
    </xf>
    <xf numFmtId="0" fontId="0" fillId="8" borderId="0" xfId="0" applyFill="1" applyProtection="1">
      <protection locked="0"/>
    </xf>
    <xf numFmtId="0" fontId="0" fillId="5" borderId="0" xfId="0" applyFill="1" applyProtection="1">
      <protection locked="0"/>
    </xf>
    <xf numFmtId="0" fontId="0" fillId="9" borderId="0" xfId="0" applyFill="1" applyProtection="1">
      <protection locked="0"/>
    </xf>
    <xf numFmtId="0" fontId="9" fillId="0" borderId="0" xfId="0" applyFont="1"/>
    <xf numFmtId="22" fontId="0" fillId="5" borderId="0" xfId="0" applyNumberFormat="1" applyFill="1"/>
    <xf numFmtId="0" fontId="0" fillId="5" borderId="0" xfId="0" applyFill="1"/>
    <xf numFmtId="0" fontId="0" fillId="0" borderId="1" xfId="0" applyBorder="1" applyProtection="1">
      <protection locked="0"/>
    </xf>
    <xf numFmtId="0" fontId="0" fillId="11" borderId="0" xfId="0" applyFill="1"/>
    <xf numFmtId="0" fontId="10" fillId="11" borderId="3" xfId="0" applyFont="1" applyFill="1" applyBorder="1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22" fontId="10" fillId="11" borderId="6" xfId="0" applyNumberFormat="1" applyFont="1" applyFill="1" applyBorder="1"/>
    <xf numFmtId="0" fontId="10" fillId="11" borderId="7" xfId="0" applyFont="1" applyFill="1" applyBorder="1"/>
    <xf numFmtId="0" fontId="10" fillId="11" borderId="8" xfId="0" applyFont="1" applyFill="1" applyBorder="1"/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/>
    <xf numFmtId="0" fontId="0" fillId="0" borderId="9" xfId="0" applyFill="1" applyBorder="1" applyAlignme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4B9"/>
      <color rgb="FFA6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42</xdr:row>
          <xdr:rowOff>95250</xdr:rowOff>
        </xdr:from>
        <xdr:to>
          <xdr:col>10</xdr:col>
          <xdr:colOff>981075</xdr:colOff>
          <xdr:row>44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333375</xdr:colOff>
      <xdr:row>4</xdr:row>
      <xdr:rowOff>57150</xdr:rowOff>
    </xdr:from>
    <xdr:to>
      <xdr:col>8</xdr:col>
      <xdr:colOff>533400</xdr:colOff>
      <xdr:row>6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1FAB8A3-7BEA-C9D4-D0F5-C250A74CFBE7}"/>
            </a:ext>
          </a:extLst>
        </xdr:cNvPr>
        <xdr:cNvSpPr txBox="1"/>
      </xdr:nvSpPr>
      <xdr:spPr>
        <a:xfrm>
          <a:off x="1552575" y="819150"/>
          <a:ext cx="3857625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>
              <a:solidFill>
                <a:schemeClr val="accent6"/>
              </a:solidFill>
            </a:rPr>
            <a:t>OLA VENTURES</a:t>
          </a:r>
        </a:p>
      </xdr:txBody>
    </xdr:sp>
    <xdr:clientData/>
  </xdr:twoCellAnchor>
  <xdr:twoCellAnchor>
    <xdr:from>
      <xdr:col>5</xdr:col>
      <xdr:colOff>685800</xdr:colOff>
      <xdr:row>25</xdr:row>
      <xdr:rowOff>104775</xdr:rowOff>
    </xdr:from>
    <xdr:to>
      <xdr:col>6</xdr:col>
      <xdr:colOff>600075</xdr:colOff>
      <xdr:row>27</xdr:row>
      <xdr:rowOff>28575</xdr:rowOff>
    </xdr:to>
    <xdr:sp macro="[0]!PERFEC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D58D4B8-9E58-4FFF-2179-D87C33862EC1}"/>
            </a:ext>
          </a:extLst>
        </xdr:cNvPr>
        <xdr:cNvSpPr/>
      </xdr:nvSpPr>
      <xdr:spPr>
        <a:xfrm>
          <a:off x="4171950" y="4867275"/>
          <a:ext cx="1228725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 ORDER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32</xdr:row>
      <xdr:rowOff>133351</xdr:rowOff>
    </xdr:from>
    <xdr:to>
      <xdr:col>8</xdr:col>
      <xdr:colOff>76200</xdr:colOff>
      <xdr:row>34</xdr:row>
      <xdr:rowOff>76201</xdr:rowOff>
    </xdr:to>
    <xdr:sp macro="[0]!_xlnm.Database" textlink="">
      <xdr:nvSpPr>
        <xdr:cNvPr id="2" name="Rectangle 1">
          <a:extLst>
            <a:ext uri="{FF2B5EF4-FFF2-40B4-BE49-F238E27FC236}">
              <a16:creationId xmlns:a16="http://schemas.microsoft.com/office/drawing/2014/main" id="{CEEC7632-8975-7F49-AD87-FB5CDB4E0304}"/>
            </a:ext>
          </a:extLst>
        </xdr:cNvPr>
        <xdr:cNvSpPr/>
      </xdr:nvSpPr>
      <xdr:spPr>
        <a:xfrm>
          <a:off x="4867275" y="6229351"/>
          <a:ext cx="1152525" cy="32385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 ORDER</a:t>
          </a:r>
        </a:p>
      </xdr:txBody>
    </xdr:sp>
    <xdr:clientData/>
  </xdr:twoCellAnchor>
  <xdr:oneCellAnchor>
    <xdr:from>
      <xdr:col>5</xdr:col>
      <xdr:colOff>508000</xdr:colOff>
      <xdr:row>0</xdr:row>
      <xdr:rowOff>95250</xdr:rowOff>
    </xdr:from>
    <xdr:ext cx="2667000" cy="58208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8D977C4-99F6-5717-195B-C912E195D9D2}"/>
            </a:ext>
          </a:extLst>
        </xdr:cNvPr>
        <xdr:cNvSpPr/>
      </xdr:nvSpPr>
      <xdr:spPr>
        <a:xfrm>
          <a:off x="3577167" y="95250"/>
          <a:ext cx="2667000" cy="582083"/>
        </a:xfrm>
        <a:prstGeom prst="rect">
          <a:avLst/>
        </a:prstGeom>
        <a:solidFill>
          <a:schemeClr val="accent2">
            <a:lumMod val="75000"/>
          </a:schemeClr>
        </a:solidFill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Pristina" panose="03060402040406080204" pitchFamily="66" charset="0"/>
            </a:rPr>
            <a:t>OLA</a:t>
          </a:r>
          <a:r>
            <a:rPr lang="en-US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Pristina" panose="03060402040406080204" pitchFamily="66" charset="0"/>
            </a:rPr>
            <a:t> VENTURES</a:t>
          </a:r>
        </a:p>
      </xdr:txBody>
    </xdr:sp>
    <xdr:clientData/>
  </xdr:oneCellAnchor>
  <xdr:twoCellAnchor>
    <xdr:from>
      <xdr:col>5</xdr:col>
      <xdr:colOff>931333</xdr:colOff>
      <xdr:row>3</xdr:row>
      <xdr:rowOff>105833</xdr:rowOff>
    </xdr:from>
    <xdr:to>
      <xdr:col>8</xdr:col>
      <xdr:colOff>31750</xdr:colOff>
      <xdr:row>4</xdr:row>
      <xdr:rowOff>169333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9FDF221-CAF9-2FE2-A9B2-409AD4FD84FF}"/>
            </a:ext>
          </a:extLst>
        </xdr:cNvPr>
        <xdr:cNvSpPr/>
      </xdr:nvSpPr>
      <xdr:spPr>
        <a:xfrm>
          <a:off x="4000500" y="677333"/>
          <a:ext cx="2000250" cy="254000"/>
        </a:xfrm>
        <a:prstGeom prst="rect">
          <a:avLst/>
        </a:prstGeom>
        <a:solidFill>
          <a:srgbClr val="FFE4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Pristina" panose="03060402040406080204" pitchFamily="66" charset="0"/>
            </a:rPr>
            <a:t>SALES</a:t>
          </a:r>
          <a:r>
            <a:rPr lang="en-US" sz="1400" baseline="0">
              <a:solidFill>
                <a:schemeClr val="tx1"/>
              </a:solidFill>
              <a:latin typeface="Pristina" panose="03060402040406080204" pitchFamily="66" charset="0"/>
            </a:rPr>
            <a:t> RECORD</a:t>
          </a:r>
        </a:p>
        <a:p>
          <a:pPr algn="l"/>
          <a:endParaRPr lang="en-US" sz="14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4FC3551-D9CE-4586-9B82-A99E361B978E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23EB4C-8B2F-4055-8040-9E3C595BE63A}" name="Table1" displayName="Table1" ref="A1:F552" totalsRowShown="0">
  <autoFilter ref="A1:F552" xr:uid="{E223EB4C-8B2F-4055-8040-9E3C595BE63A}"/>
  <tableColumns count="6">
    <tableColumn id="1" xr3:uid="{809669C5-7EEA-457E-B043-3155FC899AAD}" name="Column1" dataDxfId="4"/>
    <tableColumn id="2" xr3:uid="{9D6EA7BA-1CCC-4B52-803B-BA476090788B}" name="Column2"/>
    <tableColumn id="3" xr3:uid="{EF8F711A-67F6-4594-ACF7-4390E6811A74}" name="Column3"/>
    <tableColumn id="4" xr3:uid="{933496DB-7D07-4A45-8BF5-F5D9509F0B4E}" name="Column4"/>
    <tableColumn id="5" xr3:uid="{C06974A8-732C-49CF-A148-329964EA1982}" name="Column5"/>
    <tableColumn id="6" xr3:uid="{2FA3922F-456C-4823-B297-9EE10C25DD02}" name="Column6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661C23-79D9-4292-8E3A-81A7E367FE35}" name="Table1_1" displayName="Table1_1" ref="A1:F552" tableType="queryTable" totalsRowShown="0">
  <tableColumns count="6">
    <tableColumn id="1" xr3:uid="{254AD561-4F59-4DB4-AEFE-1779A13384B8}" uniqueName="1" name="Column1" queryTableFieldId="1" dataDxfId="2"/>
    <tableColumn id="2" xr3:uid="{F8AF0643-BB1B-4786-8C7E-DD47861C045E}" uniqueName="2" name="Column2" queryTableFieldId="2"/>
    <tableColumn id="3" xr3:uid="{DEA499FD-0AD9-4495-90ED-FB651E381900}" uniqueName="3" name="Column3" queryTableFieldId="3" dataDxfId="1"/>
    <tableColumn id="4" xr3:uid="{B2844D0F-9ACA-4EAC-8EDF-250B68378BBA}" uniqueName="4" name="Column4" queryTableFieldId="4"/>
    <tableColumn id="5" xr3:uid="{3933783B-C793-4E2B-B534-CD8562121F7F}" uniqueName="5" name="Column5" queryTableFieldId="5" dataDxfId="0"/>
    <tableColumn id="6" xr3:uid="{1A74CC38-262F-47D0-BBF0-B7309B81204F}" uniqueName="6" name="Column6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E7C9A-22EC-4582-9959-8118BC00B94A}">
  <sheetPr codeName="Sheet1"/>
  <dimension ref="A1:G552"/>
  <sheetViews>
    <sheetView workbookViewId="0">
      <selection activeCell="E3" sqref="E3"/>
    </sheetView>
  </sheetViews>
  <sheetFormatPr defaultRowHeight="15" x14ac:dyDescent="0.25"/>
  <cols>
    <col min="1" max="1" width="24.5703125" customWidth="1"/>
    <col min="2" max="2" width="11" customWidth="1"/>
    <col min="3" max="3" width="37" bestFit="1" customWidth="1"/>
    <col min="4" max="6" width="11" customWidth="1"/>
  </cols>
  <sheetData>
    <row r="1" spans="1:7" ht="33.75" x14ac:dyDescent="0.25">
      <c r="A1" s="2" t="s">
        <v>416</v>
      </c>
      <c r="B1" t="s">
        <v>417</v>
      </c>
      <c r="C1" t="s">
        <v>418</v>
      </c>
      <c r="D1" t="s">
        <v>419</v>
      </c>
      <c r="E1" t="s">
        <v>420</v>
      </c>
      <c r="F1" t="s">
        <v>421</v>
      </c>
    </row>
    <row r="2" spans="1:7" ht="33.75" x14ac:dyDescent="0.25">
      <c r="A2" s="2" t="s">
        <v>329</v>
      </c>
      <c r="G2" s="11"/>
    </row>
    <row r="3" spans="1:7" x14ac:dyDescent="0.25">
      <c r="A3" s="4" t="s">
        <v>66</v>
      </c>
      <c r="B3">
        <v>25</v>
      </c>
      <c r="C3" t="s">
        <v>21</v>
      </c>
      <c r="D3">
        <v>114471</v>
      </c>
      <c r="E3" t="s">
        <v>427</v>
      </c>
      <c r="F3" s="7">
        <v>0.28000000000000003</v>
      </c>
    </row>
    <row r="4" spans="1:7" x14ac:dyDescent="0.25">
      <c r="A4" s="4" t="s">
        <v>331</v>
      </c>
      <c r="B4">
        <v>27</v>
      </c>
      <c r="C4" t="s">
        <v>19</v>
      </c>
      <c r="D4">
        <v>178916</v>
      </c>
      <c r="E4" t="s">
        <v>428</v>
      </c>
      <c r="F4" s="7">
        <v>0.28000000000000003</v>
      </c>
    </row>
    <row r="5" spans="1:7" x14ac:dyDescent="0.25">
      <c r="A5" s="4" t="s">
        <v>18</v>
      </c>
      <c r="B5">
        <v>26</v>
      </c>
      <c r="C5" t="s">
        <v>17</v>
      </c>
      <c r="D5">
        <v>164763</v>
      </c>
      <c r="E5" t="s">
        <v>332</v>
      </c>
      <c r="F5" s="7">
        <v>0.28000000000000003</v>
      </c>
    </row>
    <row r="6" spans="1:7" x14ac:dyDescent="0.25">
      <c r="A6" s="4" t="s">
        <v>231</v>
      </c>
      <c r="B6">
        <v>26</v>
      </c>
      <c r="C6" t="s">
        <v>21</v>
      </c>
      <c r="D6">
        <v>182827</v>
      </c>
      <c r="E6" t="s">
        <v>333</v>
      </c>
      <c r="F6" s="7">
        <v>0.22</v>
      </c>
    </row>
    <row r="7" spans="1:7" x14ac:dyDescent="0.25">
      <c r="A7" s="4" t="s">
        <v>334</v>
      </c>
      <c r="B7">
        <v>19</v>
      </c>
      <c r="C7" t="s">
        <v>17</v>
      </c>
      <c r="D7">
        <v>190860</v>
      </c>
      <c r="E7" t="s">
        <v>330</v>
      </c>
      <c r="F7" s="7">
        <v>0.28000000000000003</v>
      </c>
    </row>
    <row r="8" spans="1:7" x14ac:dyDescent="0.25">
      <c r="A8" s="4" t="s">
        <v>172</v>
      </c>
      <c r="B8">
        <v>23</v>
      </c>
      <c r="C8" t="s">
        <v>79</v>
      </c>
      <c r="D8">
        <v>168125</v>
      </c>
      <c r="E8" t="s">
        <v>333</v>
      </c>
      <c r="F8" s="7">
        <v>0.23</v>
      </c>
    </row>
    <row r="9" spans="1:7" x14ac:dyDescent="0.25">
      <c r="A9" s="4" t="s">
        <v>109</v>
      </c>
      <c r="B9">
        <v>18</v>
      </c>
      <c r="C9" t="s">
        <v>19</v>
      </c>
      <c r="D9">
        <v>107075</v>
      </c>
      <c r="E9" t="s">
        <v>333</v>
      </c>
      <c r="F9" s="7">
        <v>0.23</v>
      </c>
    </row>
    <row r="10" spans="1:7" x14ac:dyDescent="0.25">
      <c r="A10" s="4" t="s">
        <v>90</v>
      </c>
      <c r="B10">
        <v>20</v>
      </c>
      <c r="C10" t="s">
        <v>17</v>
      </c>
      <c r="D10">
        <v>154549</v>
      </c>
      <c r="E10" t="s">
        <v>333</v>
      </c>
      <c r="F10" s="7">
        <v>0.21</v>
      </c>
    </row>
    <row r="11" spans="1:7" x14ac:dyDescent="0.25">
      <c r="A11" s="4" t="s">
        <v>335</v>
      </c>
      <c r="B11">
        <v>20</v>
      </c>
      <c r="C11" t="s">
        <v>36</v>
      </c>
      <c r="D11">
        <v>173431</v>
      </c>
      <c r="E11" t="s">
        <v>336</v>
      </c>
      <c r="F11" s="7">
        <v>0.25</v>
      </c>
    </row>
    <row r="12" spans="1:7" x14ac:dyDescent="0.25">
      <c r="A12" s="4" t="s">
        <v>91</v>
      </c>
      <c r="B12">
        <v>25</v>
      </c>
      <c r="C12" t="s">
        <v>23</v>
      </c>
      <c r="D12">
        <v>191828</v>
      </c>
      <c r="E12" t="s">
        <v>333</v>
      </c>
      <c r="F12" s="7">
        <v>0.23</v>
      </c>
    </row>
    <row r="13" spans="1:7" x14ac:dyDescent="0.25">
      <c r="A13" s="4" t="s">
        <v>292</v>
      </c>
      <c r="B13">
        <v>24</v>
      </c>
      <c r="C13" t="s">
        <v>27</v>
      </c>
      <c r="D13">
        <v>186401</v>
      </c>
      <c r="E13" t="s">
        <v>332</v>
      </c>
      <c r="F13" s="7">
        <v>0.26</v>
      </c>
    </row>
    <row r="14" spans="1:7" x14ac:dyDescent="0.25">
      <c r="A14" s="4" t="s">
        <v>337</v>
      </c>
      <c r="B14">
        <v>18</v>
      </c>
      <c r="C14" t="s">
        <v>23</v>
      </c>
      <c r="D14">
        <v>113166</v>
      </c>
      <c r="E14" t="s">
        <v>336</v>
      </c>
      <c r="F14" s="7">
        <v>0.25</v>
      </c>
    </row>
    <row r="15" spans="1:7" x14ac:dyDescent="0.25">
      <c r="A15" s="4" t="s">
        <v>150</v>
      </c>
      <c r="B15">
        <v>28</v>
      </c>
      <c r="C15" t="s">
        <v>79</v>
      </c>
      <c r="D15">
        <v>164941</v>
      </c>
      <c r="E15" t="s">
        <v>338</v>
      </c>
      <c r="F15" s="7">
        <v>0.22</v>
      </c>
    </row>
    <row r="16" spans="1:7" x14ac:dyDescent="0.25">
      <c r="A16" s="4" t="s">
        <v>236</v>
      </c>
      <c r="B16">
        <v>20</v>
      </c>
      <c r="C16" t="s">
        <v>25</v>
      </c>
      <c r="D16">
        <v>137732</v>
      </c>
      <c r="E16" t="s">
        <v>332</v>
      </c>
      <c r="F16" s="7">
        <v>0.26</v>
      </c>
    </row>
    <row r="17" spans="1:6" x14ac:dyDescent="0.25">
      <c r="A17" s="4" t="s">
        <v>291</v>
      </c>
      <c r="B17">
        <v>28</v>
      </c>
      <c r="C17" t="s">
        <v>36</v>
      </c>
      <c r="D17">
        <v>197309</v>
      </c>
      <c r="E17" t="s">
        <v>333</v>
      </c>
      <c r="F17" s="7">
        <v>0.22</v>
      </c>
    </row>
    <row r="18" spans="1:6" x14ac:dyDescent="0.25">
      <c r="A18" s="4" t="s">
        <v>182</v>
      </c>
      <c r="B18">
        <v>26</v>
      </c>
      <c r="C18" t="s">
        <v>45</v>
      </c>
      <c r="D18">
        <v>116989</v>
      </c>
      <c r="E18" t="s">
        <v>336</v>
      </c>
      <c r="F18" s="7">
        <v>0.24</v>
      </c>
    </row>
    <row r="19" spans="1:6" x14ac:dyDescent="0.25">
      <c r="A19" s="4" t="s">
        <v>75</v>
      </c>
      <c r="B19">
        <v>24</v>
      </c>
      <c r="C19" t="s">
        <v>79</v>
      </c>
      <c r="D19">
        <v>121386</v>
      </c>
      <c r="E19" t="s">
        <v>333</v>
      </c>
      <c r="F19" s="7">
        <v>0.23</v>
      </c>
    </row>
    <row r="20" spans="1:6" x14ac:dyDescent="0.25">
      <c r="A20" s="4" t="s">
        <v>339</v>
      </c>
      <c r="B20">
        <v>27</v>
      </c>
      <c r="C20" t="s">
        <v>72</v>
      </c>
      <c r="D20">
        <v>129965</v>
      </c>
      <c r="E20" t="s">
        <v>338</v>
      </c>
      <c r="F20" s="7">
        <v>0.23</v>
      </c>
    </row>
    <row r="21" spans="1:6" x14ac:dyDescent="0.25">
      <c r="A21" s="4" t="s">
        <v>256</v>
      </c>
      <c r="B21">
        <v>21</v>
      </c>
      <c r="C21" t="s">
        <v>36</v>
      </c>
      <c r="D21">
        <v>123655</v>
      </c>
      <c r="E21" t="s">
        <v>330</v>
      </c>
      <c r="F21" s="7">
        <v>0.25</v>
      </c>
    </row>
    <row r="22" spans="1:6" x14ac:dyDescent="0.25">
      <c r="A22" s="4" t="s">
        <v>340</v>
      </c>
      <c r="B22">
        <v>20</v>
      </c>
      <c r="C22" t="s">
        <v>33</v>
      </c>
      <c r="D22">
        <v>171219</v>
      </c>
      <c r="E22" t="s">
        <v>333</v>
      </c>
      <c r="F22" s="7">
        <v>0.23</v>
      </c>
    </row>
    <row r="23" spans="1:6" x14ac:dyDescent="0.25">
      <c r="A23" s="4" t="s">
        <v>285</v>
      </c>
      <c r="B23">
        <v>23</v>
      </c>
      <c r="C23" t="s">
        <v>25</v>
      </c>
      <c r="D23">
        <v>189312</v>
      </c>
      <c r="E23" t="s">
        <v>338</v>
      </c>
      <c r="F23" s="7">
        <v>0.23</v>
      </c>
    </row>
    <row r="24" spans="1:6" x14ac:dyDescent="0.25">
      <c r="A24" s="4" t="s">
        <v>341</v>
      </c>
      <c r="B24">
        <v>20</v>
      </c>
      <c r="C24" t="s">
        <v>25</v>
      </c>
      <c r="D24">
        <v>191470</v>
      </c>
      <c r="E24" t="s">
        <v>330</v>
      </c>
      <c r="F24" s="7">
        <v>0.27</v>
      </c>
    </row>
    <row r="25" spans="1:6" x14ac:dyDescent="0.25">
      <c r="A25" s="4" t="s">
        <v>342</v>
      </c>
      <c r="B25">
        <v>26</v>
      </c>
      <c r="C25" t="s">
        <v>62</v>
      </c>
      <c r="D25">
        <v>132430</v>
      </c>
      <c r="E25" t="s">
        <v>332</v>
      </c>
      <c r="F25" s="7">
        <v>0.25</v>
      </c>
    </row>
    <row r="26" spans="1:6" x14ac:dyDescent="0.25">
      <c r="A26" s="4" t="s">
        <v>170</v>
      </c>
      <c r="B26">
        <v>19</v>
      </c>
      <c r="C26" t="s">
        <v>19</v>
      </c>
      <c r="D26">
        <v>179985</v>
      </c>
      <c r="E26" t="s">
        <v>330</v>
      </c>
      <c r="F26" s="7">
        <v>0.27</v>
      </c>
    </row>
    <row r="27" spans="1:6" x14ac:dyDescent="0.25">
      <c r="A27" s="4" t="s">
        <v>300</v>
      </c>
      <c r="B27">
        <v>25</v>
      </c>
      <c r="C27" t="s">
        <v>27</v>
      </c>
      <c r="D27">
        <v>135624</v>
      </c>
      <c r="E27" t="s">
        <v>338</v>
      </c>
      <c r="F27" s="7">
        <v>0.23</v>
      </c>
    </row>
    <row r="28" spans="1:6" x14ac:dyDescent="0.25">
      <c r="A28" s="4" t="s">
        <v>221</v>
      </c>
      <c r="B28">
        <v>21</v>
      </c>
      <c r="C28" t="s">
        <v>19</v>
      </c>
      <c r="D28">
        <v>107623</v>
      </c>
      <c r="E28" t="s">
        <v>330</v>
      </c>
      <c r="F28" s="7">
        <v>0.26</v>
      </c>
    </row>
    <row r="29" spans="1:6" x14ac:dyDescent="0.25">
      <c r="A29" s="4" t="s">
        <v>139</v>
      </c>
      <c r="B29">
        <v>22</v>
      </c>
      <c r="C29" t="s">
        <v>79</v>
      </c>
      <c r="D29">
        <v>185952</v>
      </c>
      <c r="E29" t="s">
        <v>336</v>
      </c>
      <c r="F29" s="7">
        <v>0.25</v>
      </c>
    </row>
    <row r="30" spans="1:6" x14ac:dyDescent="0.25">
      <c r="A30" s="4" t="s">
        <v>87</v>
      </c>
      <c r="B30">
        <v>20</v>
      </c>
      <c r="C30" t="s">
        <v>36</v>
      </c>
      <c r="D30">
        <v>158243</v>
      </c>
      <c r="E30" t="s">
        <v>330</v>
      </c>
      <c r="F30" s="7">
        <v>0.28000000000000003</v>
      </c>
    </row>
    <row r="31" spans="1:6" x14ac:dyDescent="0.25">
      <c r="A31" s="4" t="s">
        <v>59</v>
      </c>
      <c r="B31">
        <v>24</v>
      </c>
      <c r="C31" t="s">
        <v>50</v>
      </c>
      <c r="D31">
        <v>132644</v>
      </c>
      <c r="E31" t="s">
        <v>333</v>
      </c>
      <c r="F31" s="7">
        <v>0.22</v>
      </c>
    </row>
    <row r="32" spans="1:6" x14ac:dyDescent="0.25">
      <c r="A32" s="4" t="s">
        <v>78</v>
      </c>
      <c r="B32">
        <v>29</v>
      </c>
      <c r="C32" t="s">
        <v>79</v>
      </c>
      <c r="D32">
        <v>146521</v>
      </c>
      <c r="E32" t="s">
        <v>333</v>
      </c>
      <c r="F32" s="7">
        <v>0.21</v>
      </c>
    </row>
    <row r="33" spans="1:6" x14ac:dyDescent="0.25">
      <c r="A33" s="4" t="s">
        <v>182</v>
      </c>
      <c r="B33">
        <v>27</v>
      </c>
      <c r="C33" t="s">
        <v>79</v>
      </c>
      <c r="D33">
        <v>164111</v>
      </c>
      <c r="E33" t="s">
        <v>338</v>
      </c>
      <c r="F33" s="7">
        <v>0.22</v>
      </c>
    </row>
    <row r="34" spans="1:6" x14ac:dyDescent="0.25">
      <c r="A34" s="4" t="s">
        <v>343</v>
      </c>
      <c r="B34">
        <v>18</v>
      </c>
      <c r="C34" t="s">
        <v>25</v>
      </c>
      <c r="D34">
        <v>148819</v>
      </c>
      <c r="E34" t="s">
        <v>336</v>
      </c>
      <c r="F34" s="7">
        <v>0.23</v>
      </c>
    </row>
    <row r="35" spans="1:6" x14ac:dyDescent="0.25">
      <c r="A35" s="4" t="s">
        <v>69</v>
      </c>
      <c r="B35">
        <v>29</v>
      </c>
      <c r="C35" t="s">
        <v>79</v>
      </c>
      <c r="D35">
        <v>155252</v>
      </c>
      <c r="E35" t="s">
        <v>336</v>
      </c>
      <c r="F35" s="7">
        <v>0.25</v>
      </c>
    </row>
    <row r="36" spans="1:6" x14ac:dyDescent="0.25">
      <c r="A36" s="4" t="s">
        <v>305</v>
      </c>
      <c r="B36">
        <v>27</v>
      </c>
      <c r="C36" t="s">
        <v>21</v>
      </c>
      <c r="D36">
        <v>168633</v>
      </c>
      <c r="E36" t="s">
        <v>330</v>
      </c>
      <c r="F36" s="7">
        <v>0.25</v>
      </c>
    </row>
    <row r="37" spans="1:6" x14ac:dyDescent="0.25">
      <c r="A37" s="4" t="s">
        <v>209</v>
      </c>
      <c r="B37">
        <v>20</v>
      </c>
      <c r="C37" t="s">
        <v>36</v>
      </c>
      <c r="D37">
        <v>105072</v>
      </c>
      <c r="E37" t="s">
        <v>338</v>
      </c>
      <c r="F37" s="7">
        <v>0.21</v>
      </c>
    </row>
    <row r="38" spans="1:6" x14ac:dyDescent="0.25">
      <c r="A38" s="4" t="s">
        <v>163</v>
      </c>
      <c r="B38">
        <v>28</v>
      </c>
      <c r="C38" t="s">
        <v>36</v>
      </c>
      <c r="D38">
        <v>166493</v>
      </c>
      <c r="E38" t="s">
        <v>330</v>
      </c>
      <c r="F38" s="7">
        <v>0.27</v>
      </c>
    </row>
    <row r="39" spans="1:6" x14ac:dyDescent="0.25">
      <c r="A39" s="4" t="s">
        <v>34</v>
      </c>
      <c r="B39">
        <v>19</v>
      </c>
      <c r="C39" t="s">
        <v>79</v>
      </c>
      <c r="D39">
        <v>192624</v>
      </c>
      <c r="E39" t="s">
        <v>333</v>
      </c>
      <c r="F39" s="7">
        <v>0.21</v>
      </c>
    </row>
    <row r="40" spans="1:6" x14ac:dyDescent="0.25">
      <c r="A40" s="4" t="s">
        <v>344</v>
      </c>
      <c r="B40">
        <v>19</v>
      </c>
      <c r="C40" t="s">
        <v>45</v>
      </c>
      <c r="D40">
        <v>189794</v>
      </c>
      <c r="E40" t="s">
        <v>330</v>
      </c>
      <c r="F40" s="7">
        <v>0.28000000000000003</v>
      </c>
    </row>
    <row r="41" spans="1:6" x14ac:dyDescent="0.25">
      <c r="A41" s="4" t="s">
        <v>133</v>
      </c>
      <c r="B41">
        <v>18</v>
      </c>
      <c r="C41" t="s">
        <v>79</v>
      </c>
      <c r="D41">
        <v>143236</v>
      </c>
      <c r="E41" t="s">
        <v>336</v>
      </c>
      <c r="F41" s="7">
        <v>0.24</v>
      </c>
    </row>
    <row r="42" spans="1:6" x14ac:dyDescent="0.25">
      <c r="A42" s="4" t="s">
        <v>318</v>
      </c>
      <c r="B42">
        <v>28</v>
      </c>
      <c r="C42" t="s">
        <v>50</v>
      </c>
      <c r="D42">
        <v>153809</v>
      </c>
      <c r="E42" t="s">
        <v>330</v>
      </c>
      <c r="F42" s="7">
        <v>0.25</v>
      </c>
    </row>
    <row r="43" spans="1:6" x14ac:dyDescent="0.25">
      <c r="A43" s="4" t="s">
        <v>345</v>
      </c>
      <c r="B43">
        <v>30</v>
      </c>
      <c r="C43" t="s">
        <v>33</v>
      </c>
      <c r="D43">
        <v>152213</v>
      </c>
      <c r="E43" t="s">
        <v>332</v>
      </c>
      <c r="F43" s="7">
        <v>0.27</v>
      </c>
    </row>
    <row r="44" spans="1:6" x14ac:dyDescent="0.25">
      <c r="A44" s="4" t="s">
        <v>76</v>
      </c>
      <c r="B44">
        <v>23</v>
      </c>
      <c r="C44" t="s">
        <v>36</v>
      </c>
      <c r="D44">
        <v>193245</v>
      </c>
      <c r="E44" t="s">
        <v>330</v>
      </c>
      <c r="F44" s="7">
        <v>0.27</v>
      </c>
    </row>
    <row r="45" spans="1:6" x14ac:dyDescent="0.25">
      <c r="A45" s="4" t="s">
        <v>346</v>
      </c>
      <c r="B45">
        <v>29</v>
      </c>
      <c r="C45" t="s">
        <v>72</v>
      </c>
      <c r="D45">
        <v>139741</v>
      </c>
      <c r="E45" t="s">
        <v>332</v>
      </c>
      <c r="F45" s="7">
        <v>0.27</v>
      </c>
    </row>
    <row r="46" spans="1:6" x14ac:dyDescent="0.25">
      <c r="A46" s="4" t="s">
        <v>347</v>
      </c>
      <c r="B46">
        <v>22</v>
      </c>
      <c r="C46" t="s">
        <v>79</v>
      </c>
      <c r="D46">
        <v>130774</v>
      </c>
      <c r="E46" t="s">
        <v>330</v>
      </c>
      <c r="F46" s="7">
        <v>0.27</v>
      </c>
    </row>
    <row r="47" spans="1:6" x14ac:dyDescent="0.25">
      <c r="A47" s="4" t="s">
        <v>278</v>
      </c>
      <c r="B47">
        <v>26</v>
      </c>
      <c r="C47" t="s">
        <v>15</v>
      </c>
      <c r="D47">
        <v>185262</v>
      </c>
      <c r="E47" t="s">
        <v>330</v>
      </c>
      <c r="F47" s="7">
        <v>0.25</v>
      </c>
    </row>
    <row r="48" spans="1:6" x14ac:dyDescent="0.25">
      <c r="A48" s="4" t="s">
        <v>348</v>
      </c>
      <c r="B48">
        <v>21</v>
      </c>
      <c r="C48" t="s">
        <v>45</v>
      </c>
      <c r="D48">
        <v>174262</v>
      </c>
      <c r="E48" t="s">
        <v>332</v>
      </c>
      <c r="F48" s="7">
        <v>0.28000000000000003</v>
      </c>
    </row>
    <row r="49" spans="1:6" x14ac:dyDescent="0.25">
      <c r="A49" s="4" t="s">
        <v>348</v>
      </c>
      <c r="B49">
        <v>27</v>
      </c>
      <c r="C49" t="s">
        <v>36</v>
      </c>
      <c r="D49">
        <v>133885</v>
      </c>
      <c r="E49" t="s">
        <v>333</v>
      </c>
      <c r="F49" s="7">
        <v>0.23</v>
      </c>
    </row>
    <row r="50" spans="1:6" x14ac:dyDescent="0.25">
      <c r="A50" s="4" t="s">
        <v>212</v>
      </c>
      <c r="B50">
        <v>24</v>
      </c>
      <c r="C50" t="s">
        <v>23</v>
      </c>
      <c r="D50">
        <v>121482</v>
      </c>
      <c r="E50" t="s">
        <v>330</v>
      </c>
      <c r="F50" s="7">
        <v>0.27</v>
      </c>
    </row>
    <row r="51" spans="1:6" x14ac:dyDescent="0.25">
      <c r="A51" s="4" t="s">
        <v>212</v>
      </c>
      <c r="B51">
        <v>18</v>
      </c>
      <c r="C51" t="s">
        <v>50</v>
      </c>
      <c r="D51">
        <v>141922</v>
      </c>
      <c r="E51" t="s">
        <v>338</v>
      </c>
      <c r="F51" s="7">
        <v>0.21</v>
      </c>
    </row>
    <row r="52" spans="1:6" x14ac:dyDescent="0.25">
      <c r="A52" s="4" t="s">
        <v>349</v>
      </c>
      <c r="B52">
        <v>19</v>
      </c>
      <c r="C52" t="s">
        <v>27</v>
      </c>
      <c r="D52">
        <v>116353</v>
      </c>
      <c r="E52" t="s">
        <v>336</v>
      </c>
      <c r="F52" s="7">
        <v>0.24</v>
      </c>
    </row>
    <row r="53" spans="1:6" x14ac:dyDescent="0.25">
      <c r="A53" s="4" t="s">
        <v>14</v>
      </c>
      <c r="B53">
        <v>18</v>
      </c>
      <c r="C53" t="s">
        <v>45</v>
      </c>
      <c r="D53">
        <v>147004</v>
      </c>
      <c r="E53" t="s">
        <v>338</v>
      </c>
      <c r="F53" s="7">
        <v>0.23</v>
      </c>
    </row>
    <row r="54" spans="1:6" x14ac:dyDescent="0.25">
      <c r="A54" s="4" t="s">
        <v>337</v>
      </c>
      <c r="B54">
        <v>29</v>
      </c>
      <c r="C54" t="s">
        <v>62</v>
      </c>
      <c r="D54">
        <v>156829</v>
      </c>
      <c r="E54" t="s">
        <v>330</v>
      </c>
      <c r="F54" s="7">
        <v>0.27</v>
      </c>
    </row>
    <row r="55" spans="1:6" x14ac:dyDescent="0.25">
      <c r="A55" s="4" t="s">
        <v>185</v>
      </c>
      <c r="B55">
        <v>23</v>
      </c>
      <c r="C55" t="s">
        <v>17</v>
      </c>
      <c r="D55">
        <v>123686</v>
      </c>
      <c r="E55" t="s">
        <v>333</v>
      </c>
      <c r="F55" s="7">
        <v>0.21</v>
      </c>
    </row>
    <row r="56" spans="1:6" x14ac:dyDescent="0.25">
      <c r="A56" s="4" t="s">
        <v>350</v>
      </c>
      <c r="B56">
        <v>23</v>
      </c>
      <c r="C56" t="s">
        <v>31</v>
      </c>
      <c r="D56">
        <v>137095</v>
      </c>
      <c r="E56" t="s">
        <v>333</v>
      </c>
      <c r="F56" s="7">
        <v>0.23</v>
      </c>
    </row>
    <row r="57" spans="1:6" x14ac:dyDescent="0.25">
      <c r="A57" s="4" t="s">
        <v>107</v>
      </c>
      <c r="B57">
        <v>19</v>
      </c>
      <c r="C57" t="s">
        <v>23</v>
      </c>
      <c r="D57">
        <v>120934</v>
      </c>
      <c r="E57" t="s">
        <v>338</v>
      </c>
      <c r="F57" s="7">
        <v>0.22</v>
      </c>
    </row>
    <row r="58" spans="1:6" x14ac:dyDescent="0.25">
      <c r="A58" s="4" t="s">
        <v>351</v>
      </c>
      <c r="B58">
        <v>23</v>
      </c>
      <c r="C58" t="s">
        <v>23</v>
      </c>
      <c r="D58">
        <v>120978</v>
      </c>
      <c r="E58" t="s">
        <v>336</v>
      </c>
      <c r="F58" s="7">
        <v>0.24</v>
      </c>
    </row>
    <row r="59" spans="1:6" x14ac:dyDescent="0.25">
      <c r="A59" s="4" t="s">
        <v>96</v>
      </c>
      <c r="B59">
        <v>27</v>
      </c>
      <c r="C59" t="s">
        <v>27</v>
      </c>
      <c r="D59">
        <v>120964</v>
      </c>
      <c r="E59" t="s">
        <v>330</v>
      </c>
      <c r="F59" s="7">
        <v>0.28000000000000003</v>
      </c>
    </row>
    <row r="60" spans="1:6" x14ac:dyDescent="0.25">
      <c r="A60" s="4" t="s">
        <v>352</v>
      </c>
      <c r="B60">
        <v>19</v>
      </c>
      <c r="C60" t="s">
        <v>17</v>
      </c>
      <c r="D60">
        <v>167302</v>
      </c>
      <c r="E60" t="s">
        <v>333</v>
      </c>
      <c r="F60" s="7">
        <v>0.23</v>
      </c>
    </row>
    <row r="61" spans="1:6" x14ac:dyDescent="0.25">
      <c r="A61" s="4" t="s">
        <v>148</v>
      </c>
      <c r="B61">
        <v>19</v>
      </c>
      <c r="C61" t="s">
        <v>79</v>
      </c>
      <c r="D61">
        <v>136518</v>
      </c>
      <c r="E61" t="s">
        <v>338</v>
      </c>
      <c r="F61" s="7">
        <v>0.23</v>
      </c>
    </row>
    <row r="62" spans="1:6" x14ac:dyDescent="0.25">
      <c r="A62" s="4" t="s">
        <v>145</v>
      </c>
      <c r="B62">
        <v>24</v>
      </c>
      <c r="C62" t="s">
        <v>19</v>
      </c>
      <c r="D62">
        <v>128112</v>
      </c>
      <c r="E62" t="s">
        <v>332</v>
      </c>
      <c r="F62" s="7">
        <v>0.27</v>
      </c>
    </row>
    <row r="63" spans="1:6" x14ac:dyDescent="0.25">
      <c r="A63" s="4" t="s">
        <v>353</v>
      </c>
      <c r="B63">
        <v>22</v>
      </c>
      <c r="C63" t="s">
        <v>27</v>
      </c>
      <c r="D63">
        <v>116060</v>
      </c>
      <c r="E63" t="s">
        <v>338</v>
      </c>
      <c r="F63" s="7">
        <v>0.22</v>
      </c>
    </row>
    <row r="64" spans="1:6" x14ac:dyDescent="0.25">
      <c r="A64" s="4" t="s">
        <v>170</v>
      </c>
      <c r="B64">
        <v>18</v>
      </c>
      <c r="C64" t="s">
        <v>62</v>
      </c>
      <c r="D64">
        <v>152745</v>
      </c>
      <c r="E64" t="s">
        <v>338</v>
      </c>
      <c r="F64" s="7">
        <v>0.22</v>
      </c>
    </row>
    <row r="65" spans="1:6" x14ac:dyDescent="0.25">
      <c r="A65" s="4" t="s">
        <v>354</v>
      </c>
      <c r="B65">
        <v>26</v>
      </c>
      <c r="C65" t="s">
        <v>31</v>
      </c>
      <c r="D65">
        <v>183952</v>
      </c>
      <c r="E65" t="s">
        <v>330</v>
      </c>
      <c r="F65" s="7">
        <v>0.27</v>
      </c>
    </row>
    <row r="66" spans="1:6" x14ac:dyDescent="0.25">
      <c r="A66" s="4" t="s">
        <v>355</v>
      </c>
      <c r="B66">
        <v>18</v>
      </c>
      <c r="C66" t="s">
        <v>27</v>
      </c>
      <c r="D66">
        <v>100317</v>
      </c>
      <c r="E66" t="s">
        <v>336</v>
      </c>
      <c r="F66" s="7">
        <v>0.25</v>
      </c>
    </row>
    <row r="67" spans="1:6" x14ac:dyDescent="0.25">
      <c r="A67" s="4" t="s">
        <v>63</v>
      </c>
      <c r="B67">
        <v>20</v>
      </c>
      <c r="C67" t="s">
        <v>31</v>
      </c>
      <c r="D67">
        <v>139864</v>
      </c>
      <c r="E67" t="s">
        <v>330</v>
      </c>
      <c r="F67" s="7">
        <v>0.28000000000000003</v>
      </c>
    </row>
    <row r="68" spans="1:6" x14ac:dyDescent="0.25">
      <c r="A68" s="4" t="s">
        <v>226</v>
      </c>
      <c r="B68">
        <v>22</v>
      </c>
      <c r="C68" t="s">
        <v>25</v>
      </c>
      <c r="D68">
        <v>108782</v>
      </c>
      <c r="E68" t="s">
        <v>330</v>
      </c>
      <c r="F68" s="7">
        <v>0.27</v>
      </c>
    </row>
    <row r="69" spans="1:6" x14ac:dyDescent="0.25">
      <c r="A69" s="4" t="s">
        <v>162</v>
      </c>
      <c r="B69">
        <v>26</v>
      </c>
      <c r="C69" t="s">
        <v>31</v>
      </c>
      <c r="D69">
        <v>150618</v>
      </c>
      <c r="E69" t="s">
        <v>330</v>
      </c>
      <c r="F69" s="7">
        <v>0.25</v>
      </c>
    </row>
    <row r="70" spans="1:6" x14ac:dyDescent="0.25">
      <c r="A70" s="4" t="s">
        <v>71</v>
      </c>
      <c r="B70">
        <v>22</v>
      </c>
      <c r="C70" t="s">
        <v>31</v>
      </c>
      <c r="D70">
        <v>103604</v>
      </c>
      <c r="E70" t="s">
        <v>333</v>
      </c>
      <c r="F70" s="7">
        <v>0.22</v>
      </c>
    </row>
    <row r="71" spans="1:6" x14ac:dyDescent="0.25">
      <c r="A71" s="4" t="s">
        <v>309</v>
      </c>
      <c r="B71">
        <v>26</v>
      </c>
      <c r="C71" t="s">
        <v>31</v>
      </c>
      <c r="D71">
        <v>145998</v>
      </c>
      <c r="E71" t="s">
        <v>336</v>
      </c>
      <c r="F71" s="7">
        <v>0.23</v>
      </c>
    </row>
    <row r="72" spans="1:6" x14ac:dyDescent="0.25">
      <c r="A72" s="4" t="s">
        <v>183</v>
      </c>
      <c r="B72">
        <v>26</v>
      </c>
      <c r="C72" t="s">
        <v>19</v>
      </c>
      <c r="D72">
        <v>146728</v>
      </c>
      <c r="E72" t="s">
        <v>338</v>
      </c>
      <c r="F72" s="7">
        <v>0.23</v>
      </c>
    </row>
    <row r="73" spans="1:6" x14ac:dyDescent="0.25">
      <c r="A73" s="4" t="s">
        <v>149</v>
      </c>
      <c r="B73">
        <v>20</v>
      </c>
      <c r="C73" t="s">
        <v>72</v>
      </c>
      <c r="D73">
        <v>180346</v>
      </c>
      <c r="E73" t="s">
        <v>336</v>
      </c>
      <c r="F73" s="7">
        <v>0.24</v>
      </c>
    </row>
    <row r="74" spans="1:6" x14ac:dyDescent="0.25">
      <c r="A74" s="4" t="s">
        <v>213</v>
      </c>
      <c r="B74">
        <v>18</v>
      </c>
      <c r="C74" t="s">
        <v>17</v>
      </c>
      <c r="D74">
        <v>188703</v>
      </c>
      <c r="E74" t="s">
        <v>330</v>
      </c>
      <c r="F74" s="7">
        <v>0.27</v>
      </c>
    </row>
    <row r="75" spans="1:6" x14ac:dyDescent="0.25">
      <c r="A75" s="4" t="s">
        <v>116</v>
      </c>
      <c r="B75">
        <v>24</v>
      </c>
      <c r="C75" t="s">
        <v>23</v>
      </c>
      <c r="D75">
        <v>149482</v>
      </c>
      <c r="E75" t="s">
        <v>336</v>
      </c>
      <c r="F75" s="7">
        <v>0.24</v>
      </c>
    </row>
    <row r="76" spans="1:6" x14ac:dyDescent="0.25">
      <c r="A76" s="4" t="s">
        <v>51</v>
      </c>
      <c r="B76">
        <v>30</v>
      </c>
      <c r="C76" t="s">
        <v>31</v>
      </c>
      <c r="D76">
        <v>143495</v>
      </c>
      <c r="E76" t="s">
        <v>333</v>
      </c>
      <c r="F76" s="7">
        <v>0.23</v>
      </c>
    </row>
    <row r="77" spans="1:6" x14ac:dyDescent="0.25">
      <c r="A77" s="4" t="s">
        <v>150</v>
      </c>
      <c r="B77">
        <v>25</v>
      </c>
      <c r="C77" t="s">
        <v>36</v>
      </c>
      <c r="D77">
        <v>175307</v>
      </c>
      <c r="E77" t="s">
        <v>336</v>
      </c>
      <c r="F77" s="7">
        <v>0.23</v>
      </c>
    </row>
    <row r="78" spans="1:6" x14ac:dyDescent="0.25">
      <c r="A78" s="4" t="s">
        <v>238</v>
      </c>
      <c r="B78">
        <v>21</v>
      </c>
      <c r="C78" t="s">
        <v>23</v>
      </c>
      <c r="D78">
        <v>195630</v>
      </c>
      <c r="E78" t="s">
        <v>336</v>
      </c>
      <c r="F78" s="7">
        <v>0.23</v>
      </c>
    </row>
    <row r="79" spans="1:6" x14ac:dyDescent="0.25">
      <c r="A79" s="4" t="s">
        <v>353</v>
      </c>
      <c r="B79">
        <v>20</v>
      </c>
      <c r="C79" t="s">
        <v>15</v>
      </c>
      <c r="D79">
        <v>151123</v>
      </c>
      <c r="E79" t="s">
        <v>330</v>
      </c>
      <c r="F79" s="7">
        <v>0.28000000000000003</v>
      </c>
    </row>
    <row r="80" spans="1:6" x14ac:dyDescent="0.25">
      <c r="A80" s="4" t="s">
        <v>262</v>
      </c>
      <c r="B80">
        <v>23</v>
      </c>
      <c r="C80" t="s">
        <v>31</v>
      </c>
      <c r="D80">
        <v>118749</v>
      </c>
      <c r="E80" t="s">
        <v>338</v>
      </c>
      <c r="F80" s="7">
        <v>0.23</v>
      </c>
    </row>
    <row r="81" spans="1:6" x14ac:dyDescent="0.25">
      <c r="A81" s="4" t="s">
        <v>227</v>
      </c>
      <c r="B81">
        <v>20</v>
      </c>
      <c r="C81" t="s">
        <v>17</v>
      </c>
      <c r="D81">
        <v>161073</v>
      </c>
      <c r="E81" t="s">
        <v>338</v>
      </c>
      <c r="F81" s="7">
        <v>0.22</v>
      </c>
    </row>
    <row r="82" spans="1:6" x14ac:dyDescent="0.25">
      <c r="A82" s="4" t="s">
        <v>268</v>
      </c>
      <c r="B82">
        <v>19</v>
      </c>
      <c r="C82" t="s">
        <v>62</v>
      </c>
      <c r="D82">
        <v>157727</v>
      </c>
      <c r="E82" t="s">
        <v>330</v>
      </c>
      <c r="F82" s="7">
        <v>0.26</v>
      </c>
    </row>
    <row r="83" spans="1:6" x14ac:dyDescent="0.25">
      <c r="A83" s="4" t="s">
        <v>143</v>
      </c>
      <c r="B83">
        <v>28</v>
      </c>
      <c r="C83" t="s">
        <v>25</v>
      </c>
      <c r="D83">
        <v>136763</v>
      </c>
      <c r="E83" t="s">
        <v>330</v>
      </c>
      <c r="F83" s="7">
        <v>0.27</v>
      </c>
    </row>
    <row r="84" spans="1:6" x14ac:dyDescent="0.25">
      <c r="A84" s="4" t="s">
        <v>116</v>
      </c>
      <c r="B84">
        <v>20</v>
      </c>
      <c r="C84" t="s">
        <v>15</v>
      </c>
      <c r="D84">
        <v>153203</v>
      </c>
      <c r="E84" t="s">
        <v>330</v>
      </c>
      <c r="F84" s="7">
        <v>0.26</v>
      </c>
    </row>
    <row r="85" spans="1:6" x14ac:dyDescent="0.25">
      <c r="A85" s="4" t="s">
        <v>92</v>
      </c>
      <c r="B85">
        <v>30</v>
      </c>
      <c r="C85" t="s">
        <v>45</v>
      </c>
      <c r="D85">
        <v>161313</v>
      </c>
      <c r="E85" t="s">
        <v>332</v>
      </c>
      <c r="F85" s="7">
        <v>0.28000000000000003</v>
      </c>
    </row>
    <row r="86" spans="1:6" x14ac:dyDescent="0.25">
      <c r="A86" s="4" t="s">
        <v>222</v>
      </c>
      <c r="B86">
        <v>25</v>
      </c>
      <c r="C86" t="s">
        <v>15</v>
      </c>
      <c r="D86">
        <v>111745</v>
      </c>
      <c r="E86" t="s">
        <v>336</v>
      </c>
      <c r="F86" s="7">
        <v>0.25</v>
      </c>
    </row>
    <row r="87" spans="1:6" x14ac:dyDescent="0.25">
      <c r="A87" s="4" t="s">
        <v>356</v>
      </c>
      <c r="B87">
        <v>23</v>
      </c>
      <c r="C87" t="s">
        <v>50</v>
      </c>
      <c r="D87">
        <v>177306</v>
      </c>
      <c r="E87" t="s">
        <v>336</v>
      </c>
      <c r="F87" s="7">
        <v>0.23</v>
      </c>
    </row>
    <row r="88" spans="1:6" x14ac:dyDescent="0.25">
      <c r="A88" s="4" t="s">
        <v>163</v>
      </c>
      <c r="B88">
        <v>29</v>
      </c>
      <c r="C88" t="s">
        <v>15</v>
      </c>
      <c r="D88">
        <v>145656</v>
      </c>
      <c r="E88" t="s">
        <v>336</v>
      </c>
      <c r="F88" s="7">
        <v>0.23</v>
      </c>
    </row>
    <row r="89" spans="1:6" x14ac:dyDescent="0.25">
      <c r="A89" s="4" t="s">
        <v>71</v>
      </c>
      <c r="B89">
        <v>27</v>
      </c>
      <c r="C89" t="s">
        <v>36</v>
      </c>
      <c r="D89">
        <v>167954</v>
      </c>
      <c r="E89" t="s">
        <v>333</v>
      </c>
      <c r="F89" s="7">
        <v>0.22</v>
      </c>
    </row>
    <row r="90" spans="1:6" x14ac:dyDescent="0.25">
      <c r="A90" s="4" t="s">
        <v>205</v>
      </c>
      <c r="B90">
        <v>23</v>
      </c>
      <c r="C90" t="s">
        <v>62</v>
      </c>
      <c r="D90">
        <v>173377</v>
      </c>
      <c r="E90" t="s">
        <v>330</v>
      </c>
      <c r="F90" s="7">
        <v>0.27</v>
      </c>
    </row>
    <row r="91" spans="1:6" x14ac:dyDescent="0.25">
      <c r="A91" s="4" t="s">
        <v>234</v>
      </c>
      <c r="B91">
        <v>30</v>
      </c>
      <c r="C91" t="s">
        <v>19</v>
      </c>
      <c r="D91">
        <v>119266</v>
      </c>
      <c r="E91" t="s">
        <v>338</v>
      </c>
      <c r="F91" s="7">
        <v>0.23</v>
      </c>
    </row>
    <row r="92" spans="1:6" x14ac:dyDescent="0.25">
      <c r="A92" s="4" t="s">
        <v>148</v>
      </c>
      <c r="B92">
        <v>26</v>
      </c>
      <c r="C92" t="s">
        <v>72</v>
      </c>
      <c r="D92">
        <v>126729</v>
      </c>
      <c r="E92" t="s">
        <v>333</v>
      </c>
      <c r="F92" s="7">
        <v>0.21</v>
      </c>
    </row>
    <row r="93" spans="1:6" x14ac:dyDescent="0.25">
      <c r="A93" s="4" t="s">
        <v>253</v>
      </c>
      <c r="B93">
        <v>25</v>
      </c>
      <c r="C93" t="s">
        <v>50</v>
      </c>
      <c r="D93">
        <v>140742</v>
      </c>
      <c r="E93" t="s">
        <v>333</v>
      </c>
      <c r="F93" s="7">
        <v>0.21</v>
      </c>
    </row>
    <row r="94" spans="1:6" x14ac:dyDescent="0.25">
      <c r="A94" s="4" t="s">
        <v>357</v>
      </c>
      <c r="B94">
        <v>24</v>
      </c>
      <c r="C94" t="s">
        <v>79</v>
      </c>
      <c r="D94">
        <v>135498</v>
      </c>
      <c r="E94" t="s">
        <v>333</v>
      </c>
      <c r="F94" s="7">
        <v>0.22</v>
      </c>
    </row>
    <row r="95" spans="1:6" x14ac:dyDescent="0.25">
      <c r="A95" s="4" t="s">
        <v>135</v>
      </c>
      <c r="B95">
        <v>24</v>
      </c>
      <c r="C95" t="s">
        <v>31</v>
      </c>
      <c r="D95">
        <v>123561</v>
      </c>
      <c r="E95" t="s">
        <v>333</v>
      </c>
      <c r="F95" s="7">
        <v>0.22</v>
      </c>
    </row>
    <row r="96" spans="1:6" x14ac:dyDescent="0.25">
      <c r="A96" s="4" t="s">
        <v>178</v>
      </c>
      <c r="B96">
        <v>26</v>
      </c>
      <c r="C96" t="s">
        <v>27</v>
      </c>
      <c r="D96">
        <v>105167</v>
      </c>
      <c r="E96" t="s">
        <v>332</v>
      </c>
      <c r="F96" s="7">
        <v>0.28000000000000003</v>
      </c>
    </row>
    <row r="97" spans="1:6" x14ac:dyDescent="0.25">
      <c r="A97" s="4" t="s">
        <v>229</v>
      </c>
      <c r="B97">
        <v>22</v>
      </c>
      <c r="C97" t="s">
        <v>45</v>
      </c>
      <c r="D97">
        <v>163833</v>
      </c>
      <c r="E97" t="s">
        <v>333</v>
      </c>
      <c r="F97" s="7">
        <v>0.22</v>
      </c>
    </row>
    <row r="98" spans="1:6" x14ac:dyDescent="0.25">
      <c r="A98" s="4" t="s">
        <v>183</v>
      </c>
      <c r="B98">
        <v>24</v>
      </c>
      <c r="C98" t="s">
        <v>50</v>
      </c>
      <c r="D98">
        <v>185010</v>
      </c>
      <c r="E98" t="s">
        <v>330</v>
      </c>
      <c r="F98" s="7">
        <v>0.27</v>
      </c>
    </row>
    <row r="99" spans="1:6" x14ac:dyDescent="0.25">
      <c r="A99" s="4" t="s">
        <v>168</v>
      </c>
      <c r="B99">
        <v>18</v>
      </c>
      <c r="C99" t="s">
        <v>50</v>
      </c>
      <c r="D99">
        <v>184431</v>
      </c>
      <c r="E99" t="s">
        <v>330</v>
      </c>
      <c r="F99" s="7">
        <v>0.25</v>
      </c>
    </row>
    <row r="100" spans="1:6" x14ac:dyDescent="0.25">
      <c r="A100" s="4" t="s">
        <v>358</v>
      </c>
      <c r="B100">
        <v>26</v>
      </c>
      <c r="C100" t="s">
        <v>27</v>
      </c>
      <c r="D100">
        <v>110291</v>
      </c>
      <c r="E100" t="s">
        <v>330</v>
      </c>
      <c r="F100" s="7">
        <v>0.27</v>
      </c>
    </row>
    <row r="101" spans="1:6" x14ac:dyDescent="0.25">
      <c r="A101" s="4" t="s">
        <v>359</v>
      </c>
      <c r="B101">
        <v>20</v>
      </c>
      <c r="C101" t="s">
        <v>21</v>
      </c>
      <c r="D101">
        <v>130466</v>
      </c>
      <c r="E101" t="s">
        <v>336</v>
      </c>
      <c r="F101" s="7">
        <v>0.24</v>
      </c>
    </row>
    <row r="102" spans="1:6" x14ac:dyDescent="0.25">
      <c r="A102" s="4" t="s">
        <v>360</v>
      </c>
      <c r="B102">
        <v>23</v>
      </c>
      <c r="C102" t="s">
        <v>21</v>
      </c>
      <c r="D102">
        <v>185946</v>
      </c>
      <c r="E102" t="s">
        <v>332</v>
      </c>
      <c r="F102" s="7">
        <v>0.28000000000000003</v>
      </c>
    </row>
    <row r="103" spans="1:6" x14ac:dyDescent="0.25">
      <c r="A103" s="4" t="s">
        <v>223</v>
      </c>
      <c r="B103">
        <v>20</v>
      </c>
      <c r="C103" t="s">
        <v>36</v>
      </c>
      <c r="D103">
        <v>189102</v>
      </c>
      <c r="E103" t="s">
        <v>332</v>
      </c>
      <c r="F103" s="7">
        <v>0.26</v>
      </c>
    </row>
    <row r="104" spans="1:6" x14ac:dyDescent="0.25">
      <c r="A104" s="4" t="s">
        <v>361</v>
      </c>
      <c r="B104">
        <v>22</v>
      </c>
      <c r="C104" t="s">
        <v>21</v>
      </c>
      <c r="D104">
        <v>101769</v>
      </c>
      <c r="E104" t="s">
        <v>336</v>
      </c>
      <c r="F104" s="7">
        <v>0.23</v>
      </c>
    </row>
    <row r="105" spans="1:6" x14ac:dyDescent="0.25">
      <c r="A105" s="4" t="s">
        <v>193</v>
      </c>
      <c r="B105">
        <v>25</v>
      </c>
      <c r="C105" t="s">
        <v>45</v>
      </c>
      <c r="D105">
        <v>162097</v>
      </c>
      <c r="E105" t="s">
        <v>338</v>
      </c>
      <c r="F105" s="7">
        <v>0.21</v>
      </c>
    </row>
    <row r="106" spans="1:6" x14ac:dyDescent="0.25">
      <c r="A106" s="4" t="s">
        <v>256</v>
      </c>
      <c r="B106">
        <v>25</v>
      </c>
      <c r="C106" t="s">
        <v>72</v>
      </c>
      <c r="D106">
        <v>147970</v>
      </c>
      <c r="E106" t="s">
        <v>333</v>
      </c>
      <c r="F106" s="7">
        <v>0.22</v>
      </c>
    </row>
    <row r="107" spans="1:6" x14ac:dyDescent="0.25">
      <c r="A107" s="4" t="s">
        <v>362</v>
      </c>
      <c r="B107">
        <v>25</v>
      </c>
      <c r="C107" t="s">
        <v>62</v>
      </c>
      <c r="D107">
        <v>196222</v>
      </c>
      <c r="E107" t="s">
        <v>330</v>
      </c>
      <c r="F107" s="7">
        <v>0.28000000000000003</v>
      </c>
    </row>
    <row r="108" spans="1:6" x14ac:dyDescent="0.25">
      <c r="A108" s="4" t="s">
        <v>363</v>
      </c>
      <c r="B108">
        <v>18</v>
      </c>
      <c r="C108" t="s">
        <v>23</v>
      </c>
      <c r="D108">
        <v>111815</v>
      </c>
      <c r="E108" t="s">
        <v>336</v>
      </c>
      <c r="F108" s="7">
        <v>0.25</v>
      </c>
    </row>
    <row r="109" spans="1:6" x14ac:dyDescent="0.25">
      <c r="A109" s="4" t="s">
        <v>349</v>
      </c>
      <c r="B109">
        <v>24</v>
      </c>
      <c r="C109" t="s">
        <v>72</v>
      </c>
      <c r="D109">
        <v>185284</v>
      </c>
      <c r="E109" t="s">
        <v>332</v>
      </c>
      <c r="F109" s="7">
        <v>0.27</v>
      </c>
    </row>
    <row r="110" spans="1:6" x14ac:dyDescent="0.25">
      <c r="A110" s="4" t="s">
        <v>297</v>
      </c>
      <c r="B110">
        <v>21</v>
      </c>
      <c r="C110" t="s">
        <v>36</v>
      </c>
      <c r="D110">
        <v>164042</v>
      </c>
      <c r="E110" t="s">
        <v>333</v>
      </c>
      <c r="F110" s="7">
        <v>0.23</v>
      </c>
    </row>
    <row r="111" spans="1:6" x14ac:dyDescent="0.25">
      <c r="A111" s="4" t="s">
        <v>320</v>
      </c>
      <c r="B111">
        <v>18</v>
      </c>
      <c r="C111" t="s">
        <v>25</v>
      </c>
      <c r="D111">
        <v>111297</v>
      </c>
      <c r="E111" t="s">
        <v>333</v>
      </c>
      <c r="F111" s="7">
        <v>0.23</v>
      </c>
    </row>
    <row r="112" spans="1:6" x14ac:dyDescent="0.25">
      <c r="A112" s="4" t="s">
        <v>75</v>
      </c>
      <c r="B112">
        <v>19</v>
      </c>
      <c r="C112" t="s">
        <v>72</v>
      </c>
      <c r="D112">
        <v>120775</v>
      </c>
      <c r="E112" t="s">
        <v>330</v>
      </c>
      <c r="F112" s="7">
        <v>0.26</v>
      </c>
    </row>
    <row r="113" spans="1:6" x14ac:dyDescent="0.25">
      <c r="A113" s="4" t="s">
        <v>251</v>
      </c>
      <c r="B113">
        <v>24</v>
      </c>
      <c r="C113" t="s">
        <v>36</v>
      </c>
      <c r="D113">
        <v>121393</v>
      </c>
      <c r="E113" t="s">
        <v>336</v>
      </c>
      <c r="F113" s="7">
        <v>0.25</v>
      </c>
    </row>
    <row r="114" spans="1:6" x14ac:dyDescent="0.25">
      <c r="A114" s="4" t="s">
        <v>353</v>
      </c>
      <c r="B114">
        <v>21</v>
      </c>
      <c r="C114" t="s">
        <v>17</v>
      </c>
      <c r="D114">
        <v>102478</v>
      </c>
      <c r="E114" t="s">
        <v>336</v>
      </c>
      <c r="F114" s="7">
        <v>0.25</v>
      </c>
    </row>
    <row r="115" spans="1:6" x14ac:dyDescent="0.25">
      <c r="A115" s="4" t="s">
        <v>298</v>
      </c>
      <c r="B115">
        <v>18</v>
      </c>
      <c r="C115" t="s">
        <v>33</v>
      </c>
      <c r="D115">
        <v>129296</v>
      </c>
      <c r="E115" t="s">
        <v>330</v>
      </c>
      <c r="F115" s="7">
        <v>0.25</v>
      </c>
    </row>
    <row r="116" spans="1:6" x14ac:dyDescent="0.25">
      <c r="A116" s="4" t="s">
        <v>187</v>
      </c>
      <c r="B116">
        <v>25</v>
      </c>
      <c r="C116" t="s">
        <v>36</v>
      </c>
      <c r="D116">
        <v>182933</v>
      </c>
      <c r="E116" t="s">
        <v>338</v>
      </c>
      <c r="F116" s="7">
        <v>0.23</v>
      </c>
    </row>
    <row r="117" spans="1:6" x14ac:dyDescent="0.25">
      <c r="A117" s="4" t="s">
        <v>68</v>
      </c>
      <c r="B117">
        <v>28</v>
      </c>
      <c r="C117" t="s">
        <v>17</v>
      </c>
      <c r="D117">
        <v>106694</v>
      </c>
      <c r="E117" t="s">
        <v>332</v>
      </c>
      <c r="F117" s="7">
        <v>0.27</v>
      </c>
    </row>
    <row r="118" spans="1:6" x14ac:dyDescent="0.25">
      <c r="A118" s="4" t="s">
        <v>226</v>
      </c>
      <c r="B118">
        <v>23</v>
      </c>
      <c r="C118" t="s">
        <v>27</v>
      </c>
      <c r="D118">
        <v>118112</v>
      </c>
      <c r="E118" t="s">
        <v>336</v>
      </c>
      <c r="F118" s="7">
        <v>0.25</v>
      </c>
    </row>
    <row r="119" spans="1:6" x14ac:dyDescent="0.25">
      <c r="A119" s="4" t="s">
        <v>364</v>
      </c>
      <c r="B119">
        <v>18</v>
      </c>
      <c r="C119" t="s">
        <v>27</v>
      </c>
      <c r="D119">
        <v>180776</v>
      </c>
      <c r="E119" t="s">
        <v>336</v>
      </c>
      <c r="F119" s="7">
        <v>0.25</v>
      </c>
    </row>
    <row r="120" spans="1:6" x14ac:dyDescent="0.25">
      <c r="A120" s="4" t="s">
        <v>259</v>
      </c>
      <c r="B120">
        <v>21</v>
      </c>
      <c r="C120" t="s">
        <v>21</v>
      </c>
      <c r="D120">
        <v>140699</v>
      </c>
      <c r="E120" t="s">
        <v>338</v>
      </c>
      <c r="F120" s="7">
        <v>0.22</v>
      </c>
    </row>
    <row r="121" spans="1:6" x14ac:dyDescent="0.25">
      <c r="A121" s="4" t="s">
        <v>151</v>
      </c>
      <c r="B121">
        <v>21</v>
      </c>
      <c r="C121" t="s">
        <v>62</v>
      </c>
      <c r="D121">
        <v>155576</v>
      </c>
      <c r="E121" t="s">
        <v>333</v>
      </c>
      <c r="F121" s="7">
        <v>0.22</v>
      </c>
    </row>
    <row r="122" spans="1:6" x14ac:dyDescent="0.25">
      <c r="A122" s="4" t="s">
        <v>181</v>
      </c>
      <c r="B122">
        <v>20</v>
      </c>
      <c r="C122" t="s">
        <v>17</v>
      </c>
      <c r="D122">
        <v>155173</v>
      </c>
      <c r="E122" t="s">
        <v>333</v>
      </c>
      <c r="F122" s="7">
        <v>0.22</v>
      </c>
    </row>
    <row r="123" spans="1:6" x14ac:dyDescent="0.25">
      <c r="A123" s="4" t="s">
        <v>67</v>
      </c>
      <c r="B123">
        <v>30</v>
      </c>
      <c r="C123" t="s">
        <v>50</v>
      </c>
      <c r="D123">
        <v>195290</v>
      </c>
      <c r="E123" t="s">
        <v>336</v>
      </c>
      <c r="F123" s="7">
        <v>0.23</v>
      </c>
    </row>
    <row r="124" spans="1:6" x14ac:dyDescent="0.25">
      <c r="A124" s="4" t="s">
        <v>365</v>
      </c>
      <c r="B124">
        <v>18</v>
      </c>
      <c r="C124" t="s">
        <v>25</v>
      </c>
      <c r="D124">
        <v>166197</v>
      </c>
      <c r="E124" t="s">
        <v>330</v>
      </c>
      <c r="F124" s="7">
        <v>0.26</v>
      </c>
    </row>
    <row r="125" spans="1:6" x14ac:dyDescent="0.25">
      <c r="A125" s="4" t="s">
        <v>16</v>
      </c>
      <c r="B125">
        <v>28</v>
      </c>
      <c r="C125" t="s">
        <v>50</v>
      </c>
      <c r="D125">
        <v>110905</v>
      </c>
      <c r="E125" t="s">
        <v>338</v>
      </c>
      <c r="F125" s="7">
        <v>0.23</v>
      </c>
    </row>
    <row r="126" spans="1:6" x14ac:dyDescent="0.25">
      <c r="A126" s="4" t="s">
        <v>215</v>
      </c>
      <c r="B126">
        <v>24</v>
      </c>
      <c r="C126" t="s">
        <v>50</v>
      </c>
      <c r="D126">
        <v>199784</v>
      </c>
      <c r="E126" t="s">
        <v>333</v>
      </c>
      <c r="F126" s="7">
        <v>0.22</v>
      </c>
    </row>
    <row r="127" spans="1:6" x14ac:dyDescent="0.25">
      <c r="A127" s="4" t="s">
        <v>366</v>
      </c>
      <c r="B127">
        <v>30</v>
      </c>
      <c r="C127" t="s">
        <v>23</v>
      </c>
      <c r="D127">
        <v>112692</v>
      </c>
      <c r="E127" t="s">
        <v>338</v>
      </c>
      <c r="F127" s="7">
        <v>0.22</v>
      </c>
    </row>
    <row r="128" spans="1:6" x14ac:dyDescent="0.25">
      <c r="A128" s="4" t="s">
        <v>14</v>
      </c>
      <c r="B128">
        <v>27</v>
      </c>
      <c r="C128" t="s">
        <v>31</v>
      </c>
      <c r="D128">
        <v>189666</v>
      </c>
      <c r="E128" t="s">
        <v>332</v>
      </c>
      <c r="F128" s="7">
        <v>0.27</v>
      </c>
    </row>
    <row r="129" spans="1:6" x14ac:dyDescent="0.25">
      <c r="A129" s="4" t="s">
        <v>175</v>
      </c>
      <c r="B129">
        <v>20</v>
      </c>
      <c r="C129" t="s">
        <v>31</v>
      </c>
      <c r="D129">
        <v>188999</v>
      </c>
      <c r="E129" t="s">
        <v>330</v>
      </c>
      <c r="F129" s="7">
        <v>0.25</v>
      </c>
    </row>
    <row r="130" spans="1:6" x14ac:dyDescent="0.25">
      <c r="A130" s="4" t="s">
        <v>18</v>
      </c>
      <c r="B130">
        <v>26</v>
      </c>
      <c r="C130" t="s">
        <v>36</v>
      </c>
      <c r="D130">
        <v>170018</v>
      </c>
      <c r="E130" t="s">
        <v>333</v>
      </c>
      <c r="F130" s="7">
        <v>0.22</v>
      </c>
    </row>
    <row r="131" spans="1:6" x14ac:dyDescent="0.25">
      <c r="A131" s="4" t="s">
        <v>52</v>
      </c>
      <c r="B131">
        <v>19</v>
      </c>
      <c r="C131" t="s">
        <v>27</v>
      </c>
      <c r="D131">
        <v>171069</v>
      </c>
      <c r="E131" t="s">
        <v>330</v>
      </c>
      <c r="F131" s="7">
        <v>0.26</v>
      </c>
    </row>
    <row r="132" spans="1:6" x14ac:dyDescent="0.25">
      <c r="A132" s="4" t="s">
        <v>100</v>
      </c>
      <c r="B132">
        <v>28</v>
      </c>
      <c r="C132" t="s">
        <v>33</v>
      </c>
      <c r="D132">
        <v>174304</v>
      </c>
      <c r="E132" t="s">
        <v>336</v>
      </c>
      <c r="F132" s="7">
        <v>0.25</v>
      </c>
    </row>
    <row r="133" spans="1:6" x14ac:dyDescent="0.25">
      <c r="A133" s="4" t="s">
        <v>107</v>
      </c>
      <c r="B133">
        <v>20</v>
      </c>
      <c r="C133" t="s">
        <v>27</v>
      </c>
      <c r="D133">
        <v>191132</v>
      </c>
      <c r="E133" t="s">
        <v>338</v>
      </c>
      <c r="F133" s="7">
        <v>0.23</v>
      </c>
    </row>
    <row r="134" spans="1:6" x14ac:dyDescent="0.25">
      <c r="A134" s="4" t="s">
        <v>181</v>
      </c>
      <c r="B134">
        <v>26</v>
      </c>
      <c r="C134" t="s">
        <v>23</v>
      </c>
      <c r="D134">
        <v>109467</v>
      </c>
      <c r="E134" t="s">
        <v>332</v>
      </c>
      <c r="F134" s="7">
        <v>0.25</v>
      </c>
    </row>
    <row r="135" spans="1:6" x14ac:dyDescent="0.25">
      <c r="A135" s="4" t="s">
        <v>52</v>
      </c>
      <c r="B135">
        <v>21</v>
      </c>
      <c r="C135" t="s">
        <v>21</v>
      </c>
      <c r="D135">
        <v>144316</v>
      </c>
      <c r="E135" t="s">
        <v>336</v>
      </c>
      <c r="F135" s="7">
        <v>0.25</v>
      </c>
    </row>
    <row r="136" spans="1:6" x14ac:dyDescent="0.25">
      <c r="A136" s="4" t="s">
        <v>213</v>
      </c>
      <c r="B136">
        <v>18</v>
      </c>
      <c r="C136" t="s">
        <v>72</v>
      </c>
      <c r="D136">
        <v>197436</v>
      </c>
      <c r="E136" t="s">
        <v>330</v>
      </c>
      <c r="F136" s="7">
        <v>0.27</v>
      </c>
    </row>
    <row r="137" spans="1:6" x14ac:dyDescent="0.25">
      <c r="A137" s="4" t="s">
        <v>108</v>
      </c>
      <c r="B137">
        <v>26</v>
      </c>
      <c r="C137" t="s">
        <v>79</v>
      </c>
      <c r="D137">
        <v>153236</v>
      </c>
      <c r="E137" t="s">
        <v>332</v>
      </c>
      <c r="F137" s="7">
        <v>0.28000000000000003</v>
      </c>
    </row>
    <row r="138" spans="1:6" x14ac:dyDescent="0.25">
      <c r="A138" s="4" t="s">
        <v>309</v>
      </c>
      <c r="B138">
        <v>25</v>
      </c>
      <c r="C138" t="s">
        <v>21</v>
      </c>
      <c r="D138">
        <v>147114</v>
      </c>
      <c r="E138" t="s">
        <v>336</v>
      </c>
      <c r="F138" s="7">
        <v>0.25</v>
      </c>
    </row>
    <row r="139" spans="1:6" x14ac:dyDescent="0.25">
      <c r="A139" s="4" t="s">
        <v>366</v>
      </c>
      <c r="B139">
        <v>26</v>
      </c>
      <c r="C139" t="s">
        <v>21</v>
      </c>
      <c r="D139">
        <v>156339</v>
      </c>
      <c r="E139" t="s">
        <v>336</v>
      </c>
      <c r="F139" s="7">
        <v>0.23</v>
      </c>
    </row>
    <row r="140" spans="1:6" x14ac:dyDescent="0.25">
      <c r="A140" s="4" t="s">
        <v>315</v>
      </c>
      <c r="B140">
        <v>20</v>
      </c>
      <c r="C140" t="s">
        <v>33</v>
      </c>
      <c r="D140">
        <v>178279</v>
      </c>
      <c r="E140" t="s">
        <v>336</v>
      </c>
      <c r="F140" s="7">
        <v>0.23</v>
      </c>
    </row>
    <row r="141" spans="1:6" x14ac:dyDescent="0.25">
      <c r="A141" s="4" t="s">
        <v>186</v>
      </c>
      <c r="B141">
        <v>18</v>
      </c>
      <c r="C141" t="s">
        <v>15</v>
      </c>
      <c r="D141">
        <v>117328</v>
      </c>
      <c r="E141" t="s">
        <v>332</v>
      </c>
      <c r="F141" s="7">
        <v>0.27</v>
      </c>
    </row>
    <row r="142" spans="1:6" x14ac:dyDescent="0.25">
      <c r="A142" s="4" t="s">
        <v>367</v>
      </c>
      <c r="B142">
        <v>30</v>
      </c>
      <c r="C142" t="s">
        <v>27</v>
      </c>
      <c r="D142">
        <v>151548</v>
      </c>
      <c r="E142" t="s">
        <v>332</v>
      </c>
      <c r="F142" s="7">
        <v>0.27</v>
      </c>
    </row>
    <row r="143" spans="1:6" x14ac:dyDescent="0.25">
      <c r="A143" s="4" t="s">
        <v>315</v>
      </c>
      <c r="B143">
        <v>26</v>
      </c>
      <c r="C143" t="s">
        <v>33</v>
      </c>
      <c r="D143">
        <v>117723</v>
      </c>
      <c r="E143" t="s">
        <v>330</v>
      </c>
      <c r="F143" s="7">
        <v>0.25</v>
      </c>
    </row>
    <row r="144" spans="1:6" x14ac:dyDescent="0.25">
      <c r="A144" s="4" t="s">
        <v>340</v>
      </c>
      <c r="B144">
        <v>28</v>
      </c>
      <c r="C144" t="s">
        <v>19</v>
      </c>
      <c r="D144">
        <v>126637</v>
      </c>
      <c r="E144" t="s">
        <v>333</v>
      </c>
      <c r="F144" s="7">
        <v>0.23</v>
      </c>
    </row>
    <row r="145" spans="1:6" x14ac:dyDescent="0.25">
      <c r="A145" s="4" t="s">
        <v>105</v>
      </c>
      <c r="B145">
        <v>21</v>
      </c>
      <c r="C145" t="s">
        <v>17</v>
      </c>
      <c r="D145">
        <v>193570</v>
      </c>
      <c r="E145" t="s">
        <v>330</v>
      </c>
      <c r="F145" s="7">
        <v>0.25</v>
      </c>
    </row>
    <row r="146" spans="1:6" x14ac:dyDescent="0.25">
      <c r="A146" s="4" t="s">
        <v>260</v>
      </c>
      <c r="B146">
        <v>24</v>
      </c>
      <c r="C146" t="s">
        <v>15</v>
      </c>
      <c r="D146">
        <v>173207</v>
      </c>
      <c r="E146" t="s">
        <v>336</v>
      </c>
      <c r="F146" s="7">
        <v>0.23</v>
      </c>
    </row>
    <row r="147" spans="1:6" x14ac:dyDescent="0.25">
      <c r="A147" s="4" t="s">
        <v>351</v>
      </c>
      <c r="B147">
        <v>24</v>
      </c>
      <c r="C147" t="s">
        <v>21</v>
      </c>
      <c r="D147">
        <v>115719</v>
      </c>
      <c r="E147" t="s">
        <v>336</v>
      </c>
      <c r="F147" s="7">
        <v>0.23</v>
      </c>
    </row>
    <row r="148" spans="1:6" x14ac:dyDescent="0.25">
      <c r="A148" s="4" t="s">
        <v>206</v>
      </c>
      <c r="B148">
        <v>25</v>
      </c>
      <c r="C148" t="s">
        <v>79</v>
      </c>
      <c r="D148">
        <v>156297</v>
      </c>
      <c r="E148" t="s">
        <v>333</v>
      </c>
      <c r="F148" s="7">
        <v>0.21</v>
      </c>
    </row>
    <row r="149" spans="1:6" x14ac:dyDescent="0.25">
      <c r="A149" s="4" t="s">
        <v>140</v>
      </c>
      <c r="B149">
        <v>22</v>
      </c>
      <c r="C149" t="s">
        <v>45</v>
      </c>
      <c r="D149">
        <v>116754</v>
      </c>
      <c r="E149" t="s">
        <v>330</v>
      </c>
      <c r="F149" s="7">
        <v>0.27</v>
      </c>
    </row>
    <row r="150" spans="1:6" x14ac:dyDescent="0.25">
      <c r="A150" s="4" t="s">
        <v>304</v>
      </c>
      <c r="B150">
        <v>21</v>
      </c>
      <c r="C150" t="s">
        <v>17</v>
      </c>
      <c r="D150">
        <v>119790</v>
      </c>
      <c r="E150" t="s">
        <v>338</v>
      </c>
      <c r="F150" s="7">
        <v>0.21</v>
      </c>
    </row>
    <row r="151" spans="1:6" x14ac:dyDescent="0.25">
      <c r="A151" s="4" t="s">
        <v>28</v>
      </c>
      <c r="B151">
        <v>30</v>
      </c>
      <c r="C151" t="s">
        <v>45</v>
      </c>
      <c r="D151">
        <v>137186</v>
      </c>
      <c r="E151" t="s">
        <v>338</v>
      </c>
      <c r="F151" s="7">
        <v>0.23</v>
      </c>
    </row>
    <row r="152" spans="1:6" x14ac:dyDescent="0.25">
      <c r="A152" s="4" t="s">
        <v>368</v>
      </c>
      <c r="B152">
        <v>25</v>
      </c>
      <c r="C152" t="s">
        <v>45</v>
      </c>
      <c r="D152">
        <v>145783</v>
      </c>
      <c r="E152" t="s">
        <v>336</v>
      </c>
      <c r="F152" s="7">
        <v>0.25</v>
      </c>
    </row>
    <row r="153" spans="1:6" x14ac:dyDescent="0.25">
      <c r="A153" s="4" t="s">
        <v>96</v>
      </c>
      <c r="B153">
        <v>24</v>
      </c>
      <c r="C153" t="s">
        <v>72</v>
      </c>
      <c r="D153">
        <v>181992</v>
      </c>
      <c r="E153" t="s">
        <v>330</v>
      </c>
      <c r="F153" s="7">
        <v>0.28000000000000003</v>
      </c>
    </row>
    <row r="154" spans="1:6" x14ac:dyDescent="0.25">
      <c r="A154" s="4" t="s">
        <v>287</v>
      </c>
      <c r="B154">
        <v>18</v>
      </c>
      <c r="C154" t="s">
        <v>23</v>
      </c>
      <c r="D154">
        <v>109471</v>
      </c>
      <c r="E154" t="s">
        <v>332</v>
      </c>
      <c r="F154" s="7">
        <v>0.26</v>
      </c>
    </row>
    <row r="155" spans="1:6" x14ac:dyDescent="0.25">
      <c r="A155" s="4" t="s">
        <v>251</v>
      </c>
      <c r="B155">
        <v>25</v>
      </c>
      <c r="C155" t="s">
        <v>17</v>
      </c>
      <c r="D155">
        <v>127156</v>
      </c>
      <c r="E155" t="s">
        <v>333</v>
      </c>
      <c r="F155" s="7">
        <v>0.22</v>
      </c>
    </row>
    <row r="156" spans="1:6" x14ac:dyDescent="0.25">
      <c r="A156" s="4" t="s">
        <v>226</v>
      </c>
      <c r="B156">
        <v>26</v>
      </c>
      <c r="C156" t="s">
        <v>79</v>
      </c>
      <c r="D156">
        <v>163475</v>
      </c>
      <c r="E156" t="s">
        <v>332</v>
      </c>
      <c r="F156" s="7">
        <v>0.27</v>
      </c>
    </row>
    <row r="157" spans="1:6" x14ac:dyDescent="0.25">
      <c r="A157" s="4" t="s">
        <v>287</v>
      </c>
      <c r="B157">
        <v>20</v>
      </c>
      <c r="C157" t="s">
        <v>23</v>
      </c>
      <c r="D157">
        <v>149227</v>
      </c>
      <c r="E157" t="s">
        <v>336</v>
      </c>
      <c r="F157" s="7">
        <v>0.25</v>
      </c>
    </row>
    <row r="158" spans="1:6" x14ac:dyDescent="0.25">
      <c r="A158" s="4" t="s">
        <v>335</v>
      </c>
      <c r="B158">
        <v>29</v>
      </c>
      <c r="C158" t="s">
        <v>36</v>
      </c>
      <c r="D158">
        <v>188971</v>
      </c>
      <c r="E158" t="s">
        <v>338</v>
      </c>
      <c r="F158" s="7">
        <v>0.21</v>
      </c>
    </row>
    <row r="159" spans="1:6" x14ac:dyDescent="0.25">
      <c r="A159" s="4" t="s">
        <v>90</v>
      </c>
      <c r="B159">
        <v>21</v>
      </c>
      <c r="C159" t="s">
        <v>50</v>
      </c>
      <c r="D159">
        <v>110029</v>
      </c>
      <c r="E159" t="s">
        <v>336</v>
      </c>
      <c r="F159" s="7">
        <v>0.24</v>
      </c>
    </row>
    <row r="160" spans="1:6" x14ac:dyDescent="0.25">
      <c r="A160" s="4" t="s">
        <v>138</v>
      </c>
      <c r="B160">
        <v>28</v>
      </c>
      <c r="C160" t="s">
        <v>19</v>
      </c>
      <c r="D160">
        <v>187268</v>
      </c>
      <c r="E160" t="s">
        <v>336</v>
      </c>
      <c r="F160" s="7">
        <v>0.25</v>
      </c>
    </row>
    <row r="161" spans="1:6" x14ac:dyDescent="0.25">
      <c r="A161" s="4" t="s">
        <v>107</v>
      </c>
      <c r="B161">
        <v>26</v>
      </c>
      <c r="C161" t="s">
        <v>31</v>
      </c>
      <c r="D161">
        <v>125447</v>
      </c>
      <c r="E161" t="s">
        <v>333</v>
      </c>
      <c r="F161" s="7">
        <v>0.21</v>
      </c>
    </row>
    <row r="162" spans="1:6" x14ac:dyDescent="0.25">
      <c r="A162" s="4" t="s">
        <v>260</v>
      </c>
      <c r="B162">
        <v>26</v>
      </c>
      <c r="C162" t="s">
        <v>27</v>
      </c>
      <c r="D162">
        <v>178491</v>
      </c>
      <c r="E162" t="s">
        <v>338</v>
      </c>
      <c r="F162" s="7">
        <v>0.23</v>
      </c>
    </row>
    <row r="163" spans="1:6" x14ac:dyDescent="0.25">
      <c r="A163" s="4" t="s">
        <v>217</v>
      </c>
      <c r="B163">
        <v>29</v>
      </c>
      <c r="C163" t="s">
        <v>19</v>
      </c>
      <c r="D163">
        <v>123200</v>
      </c>
      <c r="E163" t="s">
        <v>333</v>
      </c>
      <c r="F163" s="7">
        <v>0.22</v>
      </c>
    </row>
    <row r="164" spans="1:6" x14ac:dyDescent="0.25">
      <c r="A164" s="4" t="s">
        <v>369</v>
      </c>
      <c r="B164">
        <v>21</v>
      </c>
      <c r="C164" t="s">
        <v>79</v>
      </c>
      <c r="D164">
        <v>166957</v>
      </c>
      <c r="E164" t="s">
        <v>336</v>
      </c>
      <c r="F164" s="7">
        <v>0.23</v>
      </c>
    </row>
    <row r="165" spans="1:6" x14ac:dyDescent="0.25">
      <c r="A165" s="4" t="s">
        <v>207</v>
      </c>
      <c r="B165">
        <v>30</v>
      </c>
      <c r="C165" t="s">
        <v>50</v>
      </c>
      <c r="D165">
        <v>180374</v>
      </c>
      <c r="E165" t="s">
        <v>338</v>
      </c>
      <c r="F165" s="7">
        <v>0.22</v>
      </c>
    </row>
    <row r="166" spans="1:6" x14ac:dyDescent="0.25">
      <c r="A166" s="4" t="s">
        <v>146</v>
      </c>
      <c r="B166">
        <v>21</v>
      </c>
      <c r="C166" t="s">
        <v>21</v>
      </c>
      <c r="D166">
        <v>125928</v>
      </c>
      <c r="E166" t="s">
        <v>336</v>
      </c>
      <c r="F166" s="7">
        <v>0.25</v>
      </c>
    </row>
    <row r="167" spans="1:6" x14ac:dyDescent="0.25">
      <c r="A167" s="4" t="s">
        <v>202</v>
      </c>
      <c r="B167">
        <v>20</v>
      </c>
      <c r="C167" t="s">
        <v>45</v>
      </c>
      <c r="D167">
        <v>128035</v>
      </c>
      <c r="E167" t="s">
        <v>338</v>
      </c>
      <c r="F167" s="7">
        <v>0.23</v>
      </c>
    </row>
    <row r="168" spans="1:6" x14ac:dyDescent="0.25">
      <c r="A168" s="4" t="s">
        <v>89</v>
      </c>
      <c r="B168">
        <v>27</v>
      </c>
      <c r="C168" t="s">
        <v>17</v>
      </c>
      <c r="D168">
        <v>196457</v>
      </c>
      <c r="E168" t="s">
        <v>332</v>
      </c>
      <c r="F168" s="7">
        <v>0.26</v>
      </c>
    </row>
    <row r="169" spans="1:6" x14ac:dyDescent="0.25">
      <c r="A169" s="4" t="s">
        <v>340</v>
      </c>
      <c r="B169">
        <v>22</v>
      </c>
      <c r="C169" t="s">
        <v>50</v>
      </c>
      <c r="D169">
        <v>175568</v>
      </c>
      <c r="E169" t="s">
        <v>333</v>
      </c>
      <c r="F169" s="7">
        <v>0.22</v>
      </c>
    </row>
    <row r="170" spans="1:6" x14ac:dyDescent="0.25">
      <c r="A170" s="4" t="s">
        <v>341</v>
      </c>
      <c r="B170">
        <v>25</v>
      </c>
      <c r="C170" t="s">
        <v>62</v>
      </c>
      <c r="D170">
        <v>142563</v>
      </c>
      <c r="E170" t="s">
        <v>333</v>
      </c>
      <c r="F170" s="7">
        <v>0.22</v>
      </c>
    </row>
    <row r="171" spans="1:6" x14ac:dyDescent="0.25">
      <c r="A171" s="4" t="s">
        <v>165</v>
      </c>
      <c r="B171">
        <v>28</v>
      </c>
      <c r="C171" t="s">
        <v>19</v>
      </c>
      <c r="D171">
        <v>187481</v>
      </c>
      <c r="E171" t="s">
        <v>333</v>
      </c>
      <c r="F171" s="7">
        <v>0.21</v>
      </c>
    </row>
    <row r="172" spans="1:6" x14ac:dyDescent="0.25">
      <c r="A172" s="4" t="s">
        <v>249</v>
      </c>
      <c r="B172">
        <v>22</v>
      </c>
      <c r="C172" t="s">
        <v>15</v>
      </c>
      <c r="D172">
        <v>188653</v>
      </c>
      <c r="E172" t="s">
        <v>330</v>
      </c>
      <c r="F172" s="7">
        <v>0.27</v>
      </c>
    </row>
    <row r="173" spans="1:6" x14ac:dyDescent="0.25">
      <c r="A173" s="4" t="s">
        <v>189</v>
      </c>
      <c r="B173">
        <v>30</v>
      </c>
      <c r="C173" t="s">
        <v>23</v>
      </c>
      <c r="D173">
        <v>170500</v>
      </c>
      <c r="E173" t="s">
        <v>336</v>
      </c>
      <c r="F173" s="7">
        <v>0.24</v>
      </c>
    </row>
    <row r="174" spans="1:6" x14ac:dyDescent="0.25">
      <c r="A174" s="4" t="s">
        <v>318</v>
      </c>
      <c r="B174">
        <v>22</v>
      </c>
      <c r="C174" t="s">
        <v>79</v>
      </c>
      <c r="D174">
        <v>195639</v>
      </c>
      <c r="E174" t="s">
        <v>330</v>
      </c>
      <c r="F174" s="7">
        <v>0.27</v>
      </c>
    </row>
    <row r="175" spans="1:6" x14ac:dyDescent="0.25">
      <c r="A175" s="4" t="s">
        <v>77</v>
      </c>
      <c r="B175">
        <v>26</v>
      </c>
      <c r="C175" t="s">
        <v>23</v>
      </c>
      <c r="D175">
        <v>115382</v>
      </c>
      <c r="E175" t="s">
        <v>336</v>
      </c>
      <c r="F175" s="7">
        <v>0.25</v>
      </c>
    </row>
    <row r="176" spans="1:6" x14ac:dyDescent="0.25">
      <c r="A176" s="4" t="s">
        <v>356</v>
      </c>
      <c r="B176">
        <v>21</v>
      </c>
      <c r="C176" t="s">
        <v>23</v>
      </c>
      <c r="D176">
        <v>181205</v>
      </c>
      <c r="E176" t="s">
        <v>330</v>
      </c>
      <c r="F176" s="7">
        <v>0.28000000000000003</v>
      </c>
    </row>
    <row r="177" spans="1:6" x14ac:dyDescent="0.25">
      <c r="A177" s="4" t="s">
        <v>95</v>
      </c>
      <c r="B177">
        <v>22</v>
      </c>
      <c r="C177" t="s">
        <v>17</v>
      </c>
      <c r="D177">
        <v>100378</v>
      </c>
      <c r="E177" t="s">
        <v>330</v>
      </c>
      <c r="F177" s="7">
        <v>0.26</v>
      </c>
    </row>
    <row r="178" spans="1:6" x14ac:dyDescent="0.25">
      <c r="A178" s="4" t="s">
        <v>114</v>
      </c>
      <c r="B178">
        <v>30</v>
      </c>
      <c r="C178" t="s">
        <v>31</v>
      </c>
      <c r="D178">
        <v>104833</v>
      </c>
      <c r="E178" t="s">
        <v>333</v>
      </c>
      <c r="F178" s="7">
        <v>0.22</v>
      </c>
    </row>
    <row r="179" spans="1:6" x14ac:dyDescent="0.25">
      <c r="A179" s="4" t="s">
        <v>22</v>
      </c>
      <c r="B179">
        <v>27</v>
      </c>
      <c r="C179" t="s">
        <v>36</v>
      </c>
      <c r="D179">
        <v>143727</v>
      </c>
      <c r="E179" t="s">
        <v>333</v>
      </c>
      <c r="F179" s="7">
        <v>0.23</v>
      </c>
    </row>
    <row r="180" spans="1:6" x14ac:dyDescent="0.25">
      <c r="A180" s="4" t="s">
        <v>188</v>
      </c>
      <c r="B180">
        <v>23</v>
      </c>
      <c r="C180" t="s">
        <v>72</v>
      </c>
      <c r="D180">
        <v>134464</v>
      </c>
      <c r="E180" t="s">
        <v>338</v>
      </c>
      <c r="F180" s="7">
        <v>0.23</v>
      </c>
    </row>
    <row r="181" spans="1:6" x14ac:dyDescent="0.25">
      <c r="A181" s="4" t="s">
        <v>297</v>
      </c>
      <c r="B181">
        <v>22</v>
      </c>
      <c r="C181" t="s">
        <v>25</v>
      </c>
      <c r="D181">
        <v>195456</v>
      </c>
      <c r="E181" t="s">
        <v>332</v>
      </c>
      <c r="F181" s="7">
        <v>0.28000000000000003</v>
      </c>
    </row>
    <row r="182" spans="1:6" x14ac:dyDescent="0.25">
      <c r="A182" s="4" t="s">
        <v>138</v>
      </c>
      <c r="B182">
        <v>21</v>
      </c>
      <c r="C182" t="s">
        <v>45</v>
      </c>
      <c r="D182">
        <v>193454</v>
      </c>
      <c r="E182" t="s">
        <v>338</v>
      </c>
      <c r="F182" s="7">
        <v>0.21</v>
      </c>
    </row>
    <row r="183" spans="1:6" x14ac:dyDescent="0.25">
      <c r="A183" s="4" t="s">
        <v>285</v>
      </c>
      <c r="B183">
        <v>18</v>
      </c>
      <c r="C183" t="s">
        <v>50</v>
      </c>
      <c r="D183">
        <v>147528</v>
      </c>
      <c r="E183" t="s">
        <v>330</v>
      </c>
      <c r="F183" s="7">
        <v>0.28000000000000003</v>
      </c>
    </row>
    <row r="184" spans="1:6" x14ac:dyDescent="0.25">
      <c r="A184" s="4" t="s">
        <v>212</v>
      </c>
      <c r="B184">
        <v>24</v>
      </c>
      <c r="C184" t="s">
        <v>79</v>
      </c>
      <c r="D184">
        <v>130508</v>
      </c>
      <c r="E184" t="s">
        <v>338</v>
      </c>
      <c r="F184" s="7">
        <v>0.21</v>
      </c>
    </row>
    <row r="185" spans="1:6" x14ac:dyDescent="0.25">
      <c r="A185" s="4" t="s">
        <v>166</v>
      </c>
      <c r="B185">
        <v>18</v>
      </c>
      <c r="C185" t="s">
        <v>50</v>
      </c>
      <c r="D185">
        <v>135134</v>
      </c>
      <c r="E185" t="s">
        <v>336</v>
      </c>
      <c r="F185" s="7">
        <v>0.23</v>
      </c>
    </row>
    <row r="186" spans="1:6" x14ac:dyDescent="0.25">
      <c r="A186" s="4" t="s">
        <v>230</v>
      </c>
      <c r="B186">
        <v>27</v>
      </c>
      <c r="C186" t="s">
        <v>17</v>
      </c>
      <c r="D186">
        <v>119964</v>
      </c>
      <c r="E186" t="s">
        <v>338</v>
      </c>
      <c r="F186" s="7">
        <v>0.23</v>
      </c>
    </row>
    <row r="187" spans="1:6" x14ac:dyDescent="0.25">
      <c r="A187" s="4" t="s">
        <v>335</v>
      </c>
      <c r="B187">
        <v>24</v>
      </c>
      <c r="C187" t="s">
        <v>27</v>
      </c>
      <c r="D187">
        <v>185683</v>
      </c>
      <c r="E187" t="s">
        <v>338</v>
      </c>
      <c r="F187" s="7">
        <v>0.21</v>
      </c>
    </row>
    <row r="188" spans="1:6" x14ac:dyDescent="0.25">
      <c r="A188" s="4" t="s">
        <v>178</v>
      </c>
      <c r="B188">
        <v>18</v>
      </c>
      <c r="C188" t="s">
        <v>23</v>
      </c>
      <c r="D188">
        <v>173581</v>
      </c>
      <c r="E188" t="s">
        <v>333</v>
      </c>
      <c r="F188" s="7">
        <v>0.22</v>
      </c>
    </row>
    <row r="189" spans="1:6" x14ac:dyDescent="0.25">
      <c r="A189" s="4" t="s">
        <v>63</v>
      </c>
      <c r="B189">
        <v>19</v>
      </c>
      <c r="C189" t="s">
        <v>79</v>
      </c>
      <c r="D189">
        <v>137483</v>
      </c>
      <c r="E189" t="s">
        <v>330</v>
      </c>
      <c r="F189" s="7">
        <v>0.26</v>
      </c>
    </row>
    <row r="190" spans="1:6" x14ac:dyDescent="0.25">
      <c r="A190" s="4" t="s">
        <v>341</v>
      </c>
      <c r="B190">
        <v>23</v>
      </c>
      <c r="C190" t="s">
        <v>25</v>
      </c>
      <c r="D190">
        <v>130950</v>
      </c>
      <c r="E190" t="s">
        <v>336</v>
      </c>
      <c r="F190" s="7">
        <v>0.24</v>
      </c>
    </row>
    <row r="191" spans="1:6" x14ac:dyDescent="0.25">
      <c r="A191" s="4" t="s">
        <v>302</v>
      </c>
      <c r="B191">
        <v>19</v>
      </c>
      <c r="C191" t="s">
        <v>21</v>
      </c>
      <c r="D191">
        <v>134211</v>
      </c>
      <c r="E191" t="s">
        <v>332</v>
      </c>
      <c r="F191" s="7">
        <v>0.27</v>
      </c>
    </row>
    <row r="192" spans="1:6" x14ac:dyDescent="0.25">
      <c r="A192" s="4" t="s">
        <v>172</v>
      </c>
      <c r="B192">
        <v>26</v>
      </c>
      <c r="C192" t="s">
        <v>36</v>
      </c>
      <c r="D192">
        <v>166976</v>
      </c>
      <c r="E192" t="s">
        <v>332</v>
      </c>
      <c r="F192" s="7">
        <v>0.28000000000000003</v>
      </c>
    </row>
    <row r="193" spans="1:6" x14ac:dyDescent="0.25">
      <c r="A193" s="4" t="s">
        <v>67</v>
      </c>
      <c r="B193">
        <v>18</v>
      </c>
      <c r="C193" t="s">
        <v>21</v>
      </c>
      <c r="D193">
        <v>141385</v>
      </c>
      <c r="E193" t="s">
        <v>338</v>
      </c>
      <c r="F193" s="7">
        <v>0.22</v>
      </c>
    </row>
    <row r="194" spans="1:6" x14ac:dyDescent="0.25">
      <c r="A194" s="4" t="s">
        <v>168</v>
      </c>
      <c r="B194">
        <v>23</v>
      </c>
      <c r="C194" t="s">
        <v>25</v>
      </c>
      <c r="D194">
        <v>117112</v>
      </c>
      <c r="E194" t="s">
        <v>336</v>
      </c>
      <c r="F194" s="7">
        <v>0.24</v>
      </c>
    </row>
    <row r="195" spans="1:6" x14ac:dyDescent="0.25">
      <c r="A195" s="4" t="s">
        <v>259</v>
      </c>
      <c r="B195">
        <v>28</v>
      </c>
      <c r="C195" t="s">
        <v>27</v>
      </c>
      <c r="D195">
        <v>195018</v>
      </c>
      <c r="E195" t="s">
        <v>333</v>
      </c>
      <c r="F195" s="7">
        <v>0.22</v>
      </c>
    </row>
    <row r="196" spans="1:6" x14ac:dyDescent="0.25">
      <c r="A196" s="4" t="s">
        <v>196</v>
      </c>
      <c r="B196">
        <v>21</v>
      </c>
      <c r="C196" t="s">
        <v>25</v>
      </c>
      <c r="D196">
        <v>141630</v>
      </c>
      <c r="E196" t="s">
        <v>338</v>
      </c>
      <c r="F196" s="7">
        <v>0.22</v>
      </c>
    </row>
    <row r="197" spans="1:6" x14ac:dyDescent="0.25">
      <c r="A197" s="4" t="s">
        <v>240</v>
      </c>
      <c r="B197">
        <v>26</v>
      </c>
      <c r="C197" t="s">
        <v>17</v>
      </c>
      <c r="D197">
        <v>181211</v>
      </c>
      <c r="E197" t="s">
        <v>336</v>
      </c>
      <c r="F197" s="7">
        <v>0.23</v>
      </c>
    </row>
    <row r="198" spans="1:6" x14ac:dyDescent="0.25">
      <c r="A198" s="4" t="s">
        <v>339</v>
      </c>
      <c r="B198">
        <v>23</v>
      </c>
      <c r="C198" t="s">
        <v>27</v>
      </c>
      <c r="D198">
        <v>124285</v>
      </c>
      <c r="E198" t="s">
        <v>330</v>
      </c>
      <c r="F198" s="7">
        <v>0.27</v>
      </c>
    </row>
    <row r="199" spans="1:6" x14ac:dyDescent="0.25">
      <c r="A199" s="4" t="s">
        <v>35</v>
      </c>
      <c r="B199">
        <v>26</v>
      </c>
      <c r="C199" t="s">
        <v>27</v>
      </c>
      <c r="D199">
        <v>149840</v>
      </c>
      <c r="E199" t="s">
        <v>338</v>
      </c>
      <c r="F199" s="7">
        <v>0.22</v>
      </c>
    </row>
    <row r="200" spans="1:6" x14ac:dyDescent="0.25">
      <c r="A200" s="4" t="s">
        <v>370</v>
      </c>
      <c r="B200">
        <v>23</v>
      </c>
      <c r="C200" t="s">
        <v>62</v>
      </c>
      <c r="D200">
        <v>146909</v>
      </c>
      <c r="E200" t="s">
        <v>330</v>
      </c>
      <c r="F200" s="7">
        <v>0.28000000000000003</v>
      </c>
    </row>
    <row r="201" spans="1:6" x14ac:dyDescent="0.25">
      <c r="A201" s="4" t="s">
        <v>153</v>
      </c>
      <c r="B201">
        <v>25</v>
      </c>
      <c r="C201" t="s">
        <v>62</v>
      </c>
      <c r="D201">
        <v>134217</v>
      </c>
      <c r="E201" t="s">
        <v>336</v>
      </c>
      <c r="F201" s="7">
        <v>0.23</v>
      </c>
    </row>
    <row r="202" spans="1:6" x14ac:dyDescent="0.25">
      <c r="A202" s="4" t="s">
        <v>256</v>
      </c>
      <c r="B202">
        <v>27</v>
      </c>
      <c r="C202" t="s">
        <v>31</v>
      </c>
      <c r="D202">
        <v>188715</v>
      </c>
      <c r="E202" t="s">
        <v>332</v>
      </c>
      <c r="F202" s="7">
        <v>0.27</v>
      </c>
    </row>
    <row r="203" spans="1:6" x14ac:dyDescent="0.25">
      <c r="A203" s="4" t="s">
        <v>320</v>
      </c>
      <c r="B203">
        <v>19</v>
      </c>
      <c r="C203" t="s">
        <v>79</v>
      </c>
      <c r="D203">
        <v>194077</v>
      </c>
      <c r="E203" t="s">
        <v>330</v>
      </c>
      <c r="F203" s="7">
        <v>0.25</v>
      </c>
    </row>
    <row r="204" spans="1:6" x14ac:dyDescent="0.25">
      <c r="A204" s="4" t="s">
        <v>273</v>
      </c>
      <c r="B204">
        <v>25</v>
      </c>
      <c r="C204" t="s">
        <v>27</v>
      </c>
      <c r="D204">
        <v>143366</v>
      </c>
      <c r="E204" t="s">
        <v>336</v>
      </c>
      <c r="F204" s="7">
        <v>0.24</v>
      </c>
    </row>
    <row r="205" spans="1:6" x14ac:dyDescent="0.25">
      <c r="A205" s="4" t="s">
        <v>371</v>
      </c>
      <c r="B205">
        <v>20</v>
      </c>
      <c r="C205" t="s">
        <v>31</v>
      </c>
      <c r="D205">
        <v>120798</v>
      </c>
      <c r="E205" t="s">
        <v>332</v>
      </c>
      <c r="F205" s="7">
        <v>0.25</v>
      </c>
    </row>
    <row r="206" spans="1:6" x14ac:dyDescent="0.25">
      <c r="A206" s="4" t="s">
        <v>234</v>
      </c>
      <c r="B206">
        <v>30</v>
      </c>
      <c r="C206" t="s">
        <v>27</v>
      </c>
      <c r="D206">
        <v>102821</v>
      </c>
      <c r="E206" t="s">
        <v>336</v>
      </c>
      <c r="F206" s="7">
        <v>0.23</v>
      </c>
    </row>
    <row r="207" spans="1:6" x14ac:dyDescent="0.25">
      <c r="A207" s="4" t="s">
        <v>372</v>
      </c>
      <c r="B207">
        <v>21</v>
      </c>
      <c r="C207" t="s">
        <v>50</v>
      </c>
      <c r="D207">
        <v>126206</v>
      </c>
      <c r="E207" t="s">
        <v>333</v>
      </c>
      <c r="F207" s="7">
        <v>0.22</v>
      </c>
    </row>
    <row r="208" spans="1:6" x14ac:dyDescent="0.25">
      <c r="A208" s="4" t="s">
        <v>89</v>
      </c>
      <c r="B208">
        <v>27</v>
      </c>
      <c r="C208" t="s">
        <v>19</v>
      </c>
      <c r="D208">
        <v>112683</v>
      </c>
      <c r="E208" t="s">
        <v>330</v>
      </c>
      <c r="F208" s="7">
        <v>0.28000000000000003</v>
      </c>
    </row>
    <row r="209" spans="1:6" x14ac:dyDescent="0.25">
      <c r="A209" s="4" t="s">
        <v>81</v>
      </c>
      <c r="B209">
        <v>27</v>
      </c>
      <c r="C209" t="s">
        <v>31</v>
      </c>
      <c r="D209">
        <v>127460</v>
      </c>
      <c r="E209" t="s">
        <v>333</v>
      </c>
      <c r="F209" s="7">
        <v>0.21</v>
      </c>
    </row>
    <row r="210" spans="1:6" x14ac:dyDescent="0.25">
      <c r="A210" s="4" t="s">
        <v>166</v>
      </c>
      <c r="B210">
        <v>24</v>
      </c>
      <c r="C210" t="s">
        <v>25</v>
      </c>
      <c r="D210">
        <v>185478</v>
      </c>
      <c r="E210" t="s">
        <v>338</v>
      </c>
      <c r="F210" s="7">
        <v>0.21</v>
      </c>
    </row>
    <row r="211" spans="1:6" x14ac:dyDescent="0.25">
      <c r="A211" s="4" t="s">
        <v>102</v>
      </c>
      <c r="B211">
        <v>22</v>
      </c>
      <c r="C211" t="s">
        <v>72</v>
      </c>
      <c r="D211">
        <v>194004</v>
      </c>
      <c r="E211" t="s">
        <v>333</v>
      </c>
      <c r="F211" s="7">
        <v>0.22</v>
      </c>
    </row>
    <row r="212" spans="1:6" x14ac:dyDescent="0.25">
      <c r="A212" s="4" t="s">
        <v>43</v>
      </c>
      <c r="B212">
        <v>25</v>
      </c>
      <c r="C212" t="s">
        <v>36</v>
      </c>
      <c r="D212">
        <v>112530</v>
      </c>
      <c r="E212" t="s">
        <v>330</v>
      </c>
      <c r="F212" s="7">
        <v>0.28000000000000003</v>
      </c>
    </row>
    <row r="213" spans="1:6" x14ac:dyDescent="0.25">
      <c r="A213" s="4" t="s">
        <v>131</v>
      </c>
      <c r="B213">
        <v>20</v>
      </c>
      <c r="C213" t="s">
        <v>36</v>
      </c>
      <c r="D213">
        <v>108099</v>
      </c>
      <c r="E213" t="s">
        <v>338</v>
      </c>
      <c r="F213" s="7">
        <v>0.22</v>
      </c>
    </row>
    <row r="214" spans="1:6" x14ac:dyDescent="0.25">
      <c r="A214" s="4" t="s">
        <v>281</v>
      </c>
      <c r="B214">
        <v>29</v>
      </c>
      <c r="C214" t="s">
        <v>79</v>
      </c>
      <c r="D214">
        <v>198697</v>
      </c>
      <c r="E214" t="s">
        <v>336</v>
      </c>
      <c r="F214" s="7">
        <v>0.24</v>
      </c>
    </row>
    <row r="215" spans="1:6" x14ac:dyDescent="0.25">
      <c r="A215" s="4" t="s">
        <v>81</v>
      </c>
      <c r="B215">
        <v>24</v>
      </c>
      <c r="C215" t="s">
        <v>72</v>
      </c>
      <c r="D215">
        <v>135925</v>
      </c>
      <c r="E215" t="s">
        <v>336</v>
      </c>
      <c r="F215" s="7">
        <v>0.24</v>
      </c>
    </row>
    <row r="216" spans="1:6" x14ac:dyDescent="0.25">
      <c r="A216" s="4" t="s">
        <v>352</v>
      </c>
      <c r="B216">
        <v>21</v>
      </c>
      <c r="C216" t="s">
        <v>33</v>
      </c>
      <c r="D216">
        <v>155671</v>
      </c>
      <c r="E216" t="s">
        <v>330</v>
      </c>
      <c r="F216" s="7">
        <v>0.27</v>
      </c>
    </row>
    <row r="217" spans="1:6" x14ac:dyDescent="0.25">
      <c r="A217" s="4" t="s">
        <v>166</v>
      </c>
      <c r="B217">
        <v>21</v>
      </c>
      <c r="C217" t="s">
        <v>19</v>
      </c>
      <c r="D217">
        <v>101061</v>
      </c>
      <c r="E217" t="s">
        <v>332</v>
      </c>
      <c r="F217" s="7">
        <v>0.25</v>
      </c>
    </row>
    <row r="218" spans="1:6" x14ac:dyDescent="0.25">
      <c r="A218" s="4" t="s">
        <v>343</v>
      </c>
      <c r="B218">
        <v>27</v>
      </c>
      <c r="C218" t="s">
        <v>50</v>
      </c>
      <c r="D218">
        <v>155052</v>
      </c>
      <c r="E218" t="s">
        <v>333</v>
      </c>
      <c r="F218" s="7">
        <v>0.22</v>
      </c>
    </row>
    <row r="219" spans="1:6" x14ac:dyDescent="0.25">
      <c r="A219" s="4" t="s">
        <v>240</v>
      </c>
      <c r="B219">
        <v>28</v>
      </c>
      <c r="C219" t="s">
        <v>45</v>
      </c>
      <c r="D219">
        <v>188724</v>
      </c>
      <c r="E219" t="s">
        <v>332</v>
      </c>
      <c r="F219" s="7">
        <v>0.28000000000000003</v>
      </c>
    </row>
    <row r="220" spans="1:6" x14ac:dyDescent="0.25">
      <c r="A220" s="4" t="s">
        <v>373</v>
      </c>
      <c r="B220">
        <v>25</v>
      </c>
      <c r="C220" t="s">
        <v>19</v>
      </c>
      <c r="D220">
        <v>197259</v>
      </c>
      <c r="E220" t="s">
        <v>330</v>
      </c>
      <c r="F220" s="7">
        <v>0.27</v>
      </c>
    </row>
    <row r="221" spans="1:6" x14ac:dyDescent="0.25">
      <c r="A221" s="4" t="s">
        <v>270</v>
      </c>
      <c r="B221">
        <v>20</v>
      </c>
      <c r="C221" t="s">
        <v>25</v>
      </c>
      <c r="D221">
        <v>173782</v>
      </c>
      <c r="E221" t="s">
        <v>330</v>
      </c>
      <c r="F221" s="7">
        <v>0.26</v>
      </c>
    </row>
    <row r="222" spans="1:6" x14ac:dyDescent="0.25">
      <c r="A222" s="4" t="s">
        <v>374</v>
      </c>
      <c r="B222">
        <v>19</v>
      </c>
      <c r="C222" t="s">
        <v>15</v>
      </c>
      <c r="D222">
        <v>191452</v>
      </c>
      <c r="E222" t="s">
        <v>333</v>
      </c>
      <c r="F222" s="7">
        <v>0.22</v>
      </c>
    </row>
    <row r="223" spans="1:6" x14ac:dyDescent="0.25">
      <c r="A223" s="4" t="s">
        <v>32</v>
      </c>
      <c r="B223">
        <v>18</v>
      </c>
      <c r="C223" t="s">
        <v>62</v>
      </c>
      <c r="D223">
        <v>154041</v>
      </c>
      <c r="E223" t="s">
        <v>332</v>
      </c>
      <c r="F223" s="7">
        <v>0.26</v>
      </c>
    </row>
    <row r="224" spans="1:6" x14ac:dyDescent="0.25">
      <c r="A224" s="4" t="s">
        <v>295</v>
      </c>
      <c r="B224">
        <v>26</v>
      </c>
      <c r="C224" t="s">
        <v>17</v>
      </c>
      <c r="D224">
        <v>122343</v>
      </c>
      <c r="E224" t="s">
        <v>338</v>
      </c>
      <c r="F224" s="7">
        <v>0.21</v>
      </c>
    </row>
    <row r="225" spans="1:6" x14ac:dyDescent="0.25">
      <c r="A225" s="4" t="s">
        <v>356</v>
      </c>
      <c r="B225">
        <v>21</v>
      </c>
      <c r="C225" t="s">
        <v>45</v>
      </c>
      <c r="D225">
        <v>135082</v>
      </c>
      <c r="E225" t="s">
        <v>330</v>
      </c>
      <c r="F225" s="7">
        <v>0.28000000000000003</v>
      </c>
    </row>
    <row r="226" spans="1:6" x14ac:dyDescent="0.25">
      <c r="A226" s="4" t="s">
        <v>375</v>
      </c>
      <c r="B226">
        <v>19</v>
      </c>
      <c r="C226" t="s">
        <v>25</v>
      </c>
      <c r="D226">
        <v>158860</v>
      </c>
      <c r="E226" t="s">
        <v>333</v>
      </c>
      <c r="F226" s="7">
        <v>0.23</v>
      </c>
    </row>
    <row r="227" spans="1:6" x14ac:dyDescent="0.25">
      <c r="A227" s="4" t="s">
        <v>221</v>
      </c>
      <c r="B227">
        <v>23</v>
      </c>
      <c r="C227" t="s">
        <v>62</v>
      </c>
      <c r="D227">
        <v>118132</v>
      </c>
      <c r="E227" t="s">
        <v>333</v>
      </c>
      <c r="F227" s="7">
        <v>0.23</v>
      </c>
    </row>
    <row r="228" spans="1:6" x14ac:dyDescent="0.25">
      <c r="A228" s="4" t="s">
        <v>315</v>
      </c>
      <c r="B228">
        <v>20</v>
      </c>
      <c r="C228" t="s">
        <v>79</v>
      </c>
      <c r="D228">
        <v>142191</v>
      </c>
      <c r="E228" t="s">
        <v>333</v>
      </c>
      <c r="F228" s="7">
        <v>0.21</v>
      </c>
    </row>
    <row r="229" spans="1:6" x14ac:dyDescent="0.25">
      <c r="A229" s="4" t="s">
        <v>215</v>
      </c>
      <c r="B229">
        <v>28</v>
      </c>
      <c r="C229" t="s">
        <v>31</v>
      </c>
      <c r="D229">
        <v>111740</v>
      </c>
      <c r="E229" t="s">
        <v>333</v>
      </c>
      <c r="F229" s="7">
        <v>0.23</v>
      </c>
    </row>
    <row r="230" spans="1:6" x14ac:dyDescent="0.25">
      <c r="A230" s="4" t="s">
        <v>314</v>
      </c>
      <c r="B230">
        <v>23</v>
      </c>
      <c r="C230" t="s">
        <v>62</v>
      </c>
      <c r="D230">
        <v>191527</v>
      </c>
      <c r="E230" t="s">
        <v>333</v>
      </c>
      <c r="F230" s="7">
        <v>0.21</v>
      </c>
    </row>
    <row r="231" spans="1:6" x14ac:dyDescent="0.25">
      <c r="A231" s="4" t="s">
        <v>241</v>
      </c>
      <c r="B231">
        <v>25</v>
      </c>
      <c r="C231" t="s">
        <v>45</v>
      </c>
      <c r="D231">
        <v>166670</v>
      </c>
      <c r="E231" t="s">
        <v>332</v>
      </c>
      <c r="F231" s="7">
        <v>0.27</v>
      </c>
    </row>
    <row r="232" spans="1:6" x14ac:dyDescent="0.25">
      <c r="A232" s="4" t="s">
        <v>291</v>
      </c>
      <c r="B232">
        <v>27</v>
      </c>
      <c r="C232" t="s">
        <v>31</v>
      </c>
      <c r="D232">
        <v>182186</v>
      </c>
      <c r="E232" t="s">
        <v>333</v>
      </c>
      <c r="F232" s="7">
        <v>0.21</v>
      </c>
    </row>
    <row r="233" spans="1:6" x14ac:dyDescent="0.25">
      <c r="A233" s="4" t="s">
        <v>295</v>
      </c>
      <c r="B233">
        <v>28</v>
      </c>
      <c r="C233" t="s">
        <v>79</v>
      </c>
      <c r="D233">
        <v>118446</v>
      </c>
      <c r="E233" t="s">
        <v>336</v>
      </c>
      <c r="F233" s="7">
        <v>0.23</v>
      </c>
    </row>
    <row r="234" spans="1:6" x14ac:dyDescent="0.25">
      <c r="A234" s="4" t="s">
        <v>376</v>
      </c>
      <c r="B234">
        <v>24</v>
      </c>
      <c r="C234" t="s">
        <v>27</v>
      </c>
      <c r="D234">
        <v>139498</v>
      </c>
      <c r="E234" t="s">
        <v>336</v>
      </c>
      <c r="F234" s="7">
        <v>0.25</v>
      </c>
    </row>
    <row r="235" spans="1:6" x14ac:dyDescent="0.25">
      <c r="A235" s="4" t="s">
        <v>144</v>
      </c>
      <c r="B235">
        <v>20</v>
      </c>
      <c r="C235" t="s">
        <v>15</v>
      </c>
      <c r="D235">
        <v>173459</v>
      </c>
      <c r="E235" t="s">
        <v>332</v>
      </c>
      <c r="F235" s="7">
        <v>0.28000000000000003</v>
      </c>
    </row>
    <row r="236" spans="1:6" x14ac:dyDescent="0.25">
      <c r="A236" s="4" t="s">
        <v>264</v>
      </c>
      <c r="B236">
        <v>22</v>
      </c>
      <c r="C236" t="s">
        <v>21</v>
      </c>
      <c r="D236">
        <v>121294</v>
      </c>
      <c r="E236" t="s">
        <v>333</v>
      </c>
      <c r="F236" s="7">
        <v>0.22</v>
      </c>
    </row>
    <row r="237" spans="1:6" x14ac:dyDescent="0.25">
      <c r="A237" s="4" t="s">
        <v>233</v>
      </c>
      <c r="B237">
        <v>19</v>
      </c>
      <c r="C237" t="s">
        <v>79</v>
      </c>
      <c r="D237">
        <v>149562</v>
      </c>
      <c r="E237" t="s">
        <v>332</v>
      </c>
      <c r="F237" s="7">
        <v>0.26</v>
      </c>
    </row>
    <row r="238" spans="1:6" x14ac:dyDescent="0.25">
      <c r="A238" s="4" t="s">
        <v>191</v>
      </c>
      <c r="B238">
        <v>24</v>
      </c>
      <c r="C238" t="s">
        <v>45</v>
      </c>
      <c r="D238">
        <v>152482</v>
      </c>
      <c r="E238" t="s">
        <v>336</v>
      </c>
      <c r="F238" s="7">
        <v>0.25</v>
      </c>
    </row>
    <row r="239" spans="1:6" x14ac:dyDescent="0.25">
      <c r="A239" s="4" t="s">
        <v>65</v>
      </c>
      <c r="B239">
        <v>29</v>
      </c>
      <c r="C239" t="s">
        <v>62</v>
      </c>
      <c r="D239">
        <v>104808</v>
      </c>
      <c r="E239" t="s">
        <v>330</v>
      </c>
      <c r="F239" s="7">
        <v>0.25</v>
      </c>
    </row>
    <row r="240" spans="1:6" x14ac:dyDescent="0.25">
      <c r="A240" s="4" t="s">
        <v>256</v>
      </c>
      <c r="B240">
        <v>26</v>
      </c>
      <c r="C240" t="s">
        <v>27</v>
      </c>
      <c r="D240">
        <v>154485</v>
      </c>
      <c r="E240" t="s">
        <v>333</v>
      </c>
      <c r="F240" s="7">
        <v>0.23</v>
      </c>
    </row>
    <row r="241" spans="1:6" x14ac:dyDescent="0.25">
      <c r="A241" s="4" t="s">
        <v>154</v>
      </c>
      <c r="B241">
        <v>27</v>
      </c>
      <c r="C241" t="s">
        <v>21</v>
      </c>
      <c r="D241">
        <v>111770</v>
      </c>
      <c r="E241" t="s">
        <v>330</v>
      </c>
      <c r="F241" s="7">
        <v>0.27</v>
      </c>
    </row>
    <row r="242" spans="1:6" x14ac:dyDescent="0.25">
      <c r="A242" s="4" t="s">
        <v>263</v>
      </c>
      <c r="B242">
        <v>19</v>
      </c>
      <c r="C242" t="s">
        <v>19</v>
      </c>
      <c r="D242">
        <v>117816</v>
      </c>
      <c r="E242" t="s">
        <v>330</v>
      </c>
      <c r="F242" s="7">
        <v>0.26</v>
      </c>
    </row>
    <row r="243" spans="1:6" x14ac:dyDescent="0.25">
      <c r="A243" s="4" t="s">
        <v>377</v>
      </c>
      <c r="B243">
        <v>27</v>
      </c>
      <c r="C243" t="s">
        <v>79</v>
      </c>
      <c r="D243">
        <v>119528</v>
      </c>
      <c r="E243" t="s">
        <v>336</v>
      </c>
      <c r="F243" s="7">
        <v>0.23</v>
      </c>
    </row>
    <row r="244" spans="1:6" x14ac:dyDescent="0.25">
      <c r="A244" s="4" t="s">
        <v>137</v>
      </c>
      <c r="B244">
        <v>21</v>
      </c>
      <c r="C244" t="s">
        <v>79</v>
      </c>
      <c r="D244">
        <v>130285</v>
      </c>
      <c r="E244" t="s">
        <v>338</v>
      </c>
      <c r="F244" s="7">
        <v>0.22</v>
      </c>
    </row>
    <row r="245" spans="1:6" x14ac:dyDescent="0.25">
      <c r="A245" s="4" t="s">
        <v>378</v>
      </c>
      <c r="B245">
        <v>24</v>
      </c>
      <c r="C245" t="s">
        <v>25</v>
      </c>
      <c r="D245">
        <v>124012</v>
      </c>
      <c r="E245" t="s">
        <v>330</v>
      </c>
      <c r="F245" s="7">
        <v>0.26</v>
      </c>
    </row>
    <row r="246" spans="1:6" x14ac:dyDescent="0.25">
      <c r="A246" s="4" t="s">
        <v>110</v>
      </c>
      <c r="B246">
        <v>20</v>
      </c>
      <c r="C246" t="s">
        <v>31</v>
      </c>
      <c r="D246">
        <v>183905</v>
      </c>
      <c r="E246" t="s">
        <v>338</v>
      </c>
      <c r="F246" s="7">
        <v>0.21</v>
      </c>
    </row>
    <row r="247" spans="1:6" x14ac:dyDescent="0.25">
      <c r="A247" s="4" t="s">
        <v>69</v>
      </c>
      <c r="B247">
        <v>20</v>
      </c>
      <c r="C247" t="s">
        <v>23</v>
      </c>
      <c r="D247">
        <v>149387</v>
      </c>
      <c r="E247" t="s">
        <v>333</v>
      </c>
      <c r="F247" s="7">
        <v>0.21</v>
      </c>
    </row>
    <row r="248" spans="1:6" x14ac:dyDescent="0.25">
      <c r="A248" s="4" t="s">
        <v>144</v>
      </c>
      <c r="B248">
        <v>19</v>
      </c>
      <c r="C248" t="s">
        <v>79</v>
      </c>
      <c r="D248">
        <v>108354</v>
      </c>
      <c r="E248" t="s">
        <v>336</v>
      </c>
      <c r="F248" s="7">
        <v>0.25</v>
      </c>
    </row>
    <row r="249" spans="1:6" x14ac:dyDescent="0.25">
      <c r="A249" s="4" t="s">
        <v>379</v>
      </c>
      <c r="B249">
        <v>29</v>
      </c>
      <c r="C249" t="s">
        <v>36</v>
      </c>
      <c r="D249">
        <v>169738</v>
      </c>
      <c r="E249" t="s">
        <v>330</v>
      </c>
      <c r="F249" s="7">
        <v>0.26</v>
      </c>
    </row>
    <row r="250" spans="1:6" x14ac:dyDescent="0.25">
      <c r="A250" s="4" t="s">
        <v>38</v>
      </c>
      <c r="B250">
        <v>24</v>
      </c>
      <c r="C250" t="s">
        <v>17</v>
      </c>
      <c r="D250">
        <v>105868</v>
      </c>
      <c r="E250" t="s">
        <v>338</v>
      </c>
      <c r="F250" s="7">
        <v>0.23</v>
      </c>
    </row>
    <row r="251" spans="1:6" x14ac:dyDescent="0.25">
      <c r="A251" s="4" t="s">
        <v>98</v>
      </c>
      <c r="B251">
        <v>18</v>
      </c>
      <c r="C251" t="s">
        <v>17</v>
      </c>
      <c r="D251">
        <v>147946</v>
      </c>
      <c r="E251" t="s">
        <v>338</v>
      </c>
      <c r="F251" s="7">
        <v>0.23</v>
      </c>
    </row>
    <row r="252" spans="1:6" x14ac:dyDescent="0.25">
      <c r="A252" s="4" t="s">
        <v>109</v>
      </c>
      <c r="B252">
        <v>23</v>
      </c>
      <c r="C252" t="s">
        <v>23</v>
      </c>
      <c r="D252">
        <v>116113</v>
      </c>
      <c r="E252" t="s">
        <v>330</v>
      </c>
      <c r="F252" s="7">
        <v>0.28000000000000003</v>
      </c>
    </row>
    <row r="253" spans="1:6" x14ac:dyDescent="0.25">
      <c r="A253" s="4" t="s">
        <v>20</v>
      </c>
      <c r="B253">
        <v>29</v>
      </c>
      <c r="C253" t="s">
        <v>17</v>
      </c>
      <c r="D253">
        <v>191730</v>
      </c>
      <c r="E253" t="s">
        <v>332</v>
      </c>
      <c r="F253" s="7">
        <v>0.28000000000000003</v>
      </c>
    </row>
    <row r="254" spans="1:6" x14ac:dyDescent="0.25">
      <c r="A254" s="4" t="s">
        <v>380</v>
      </c>
      <c r="B254">
        <v>29</v>
      </c>
      <c r="C254" t="s">
        <v>17</v>
      </c>
      <c r="D254">
        <v>149257</v>
      </c>
      <c r="E254" t="s">
        <v>336</v>
      </c>
      <c r="F254" s="7">
        <v>0.25</v>
      </c>
    </row>
    <row r="255" spans="1:6" x14ac:dyDescent="0.25">
      <c r="A255" s="4" t="s">
        <v>154</v>
      </c>
      <c r="B255">
        <v>21</v>
      </c>
      <c r="C255" t="s">
        <v>23</v>
      </c>
      <c r="D255">
        <v>179446</v>
      </c>
      <c r="E255" t="s">
        <v>336</v>
      </c>
      <c r="F255" s="7">
        <v>0.24</v>
      </c>
    </row>
    <row r="256" spans="1:6" x14ac:dyDescent="0.25">
      <c r="A256" s="4" t="s">
        <v>381</v>
      </c>
      <c r="B256">
        <v>21</v>
      </c>
      <c r="C256" t="s">
        <v>45</v>
      </c>
      <c r="D256">
        <v>133545</v>
      </c>
      <c r="E256" t="s">
        <v>333</v>
      </c>
      <c r="F256" s="7">
        <v>0.23</v>
      </c>
    </row>
    <row r="257" spans="1:6" x14ac:dyDescent="0.25">
      <c r="A257" s="4" t="s">
        <v>95</v>
      </c>
      <c r="B257">
        <v>24</v>
      </c>
      <c r="C257" t="s">
        <v>23</v>
      </c>
      <c r="D257">
        <v>168775</v>
      </c>
      <c r="E257" t="s">
        <v>332</v>
      </c>
      <c r="F257" s="7">
        <v>0.27</v>
      </c>
    </row>
    <row r="258" spans="1:6" x14ac:dyDescent="0.25">
      <c r="A258" s="4" t="s">
        <v>263</v>
      </c>
      <c r="B258">
        <v>18</v>
      </c>
      <c r="C258" t="s">
        <v>25</v>
      </c>
      <c r="D258">
        <v>197419</v>
      </c>
      <c r="E258" t="s">
        <v>338</v>
      </c>
      <c r="F258" s="7">
        <v>0.21</v>
      </c>
    </row>
    <row r="259" spans="1:6" x14ac:dyDescent="0.25">
      <c r="A259" s="4" t="s">
        <v>382</v>
      </c>
      <c r="B259">
        <v>23</v>
      </c>
      <c r="C259" t="s">
        <v>31</v>
      </c>
      <c r="D259">
        <v>117039</v>
      </c>
      <c r="E259" t="s">
        <v>336</v>
      </c>
      <c r="F259" s="7">
        <v>0.23</v>
      </c>
    </row>
    <row r="260" spans="1:6" x14ac:dyDescent="0.25">
      <c r="A260" s="4" t="s">
        <v>180</v>
      </c>
      <c r="B260">
        <v>22</v>
      </c>
      <c r="C260" t="s">
        <v>79</v>
      </c>
      <c r="D260">
        <v>186858</v>
      </c>
      <c r="E260" t="s">
        <v>330</v>
      </c>
      <c r="F260" s="7">
        <v>0.26</v>
      </c>
    </row>
    <row r="261" spans="1:6" x14ac:dyDescent="0.25">
      <c r="A261" s="4" t="s">
        <v>114</v>
      </c>
      <c r="B261">
        <v>19</v>
      </c>
      <c r="C261" t="s">
        <v>79</v>
      </c>
      <c r="D261">
        <v>139679</v>
      </c>
      <c r="E261" t="s">
        <v>338</v>
      </c>
      <c r="F261" s="7">
        <v>0.23</v>
      </c>
    </row>
    <row r="262" spans="1:6" x14ac:dyDescent="0.25">
      <c r="A262" s="4" t="s">
        <v>261</v>
      </c>
      <c r="B262">
        <v>27</v>
      </c>
      <c r="C262" t="s">
        <v>19</v>
      </c>
      <c r="D262">
        <v>187732</v>
      </c>
      <c r="E262" t="s">
        <v>332</v>
      </c>
      <c r="F262" s="7">
        <v>0.26</v>
      </c>
    </row>
    <row r="263" spans="1:6" x14ac:dyDescent="0.25">
      <c r="A263" s="4" t="s">
        <v>66</v>
      </c>
      <c r="B263">
        <v>25</v>
      </c>
      <c r="C263" t="s">
        <v>79</v>
      </c>
      <c r="D263">
        <v>137785</v>
      </c>
      <c r="E263" t="s">
        <v>330</v>
      </c>
      <c r="F263" s="7">
        <v>0.25</v>
      </c>
    </row>
    <row r="264" spans="1:6" x14ac:dyDescent="0.25">
      <c r="A264" s="4" t="s">
        <v>34</v>
      </c>
      <c r="B264">
        <v>20</v>
      </c>
      <c r="C264" t="s">
        <v>72</v>
      </c>
      <c r="D264">
        <v>167711</v>
      </c>
      <c r="E264" t="s">
        <v>333</v>
      </c>
      <c r="F264" s="7">
        <v>0.22</v>
      </c>
    </row>
    <row r="265" spans="1:6" x14ac:dyDescent="0.25">
      <c r="A265" s="4" t="s">
        <v>116</v>
      </c>
      <c r="B265">
        <v>27</v>
      </c>
      <c r="C265" t="s">
        <v>72</v>
      </c>
      <c r="D265">
        <v>143420</v>
      </c>
      <c r="E265" t="s">
        <v>332</v>
      </c>
      <c r="F265" s="7">
        <v>0.27</v>
      </c>
    </row>
    <row r="266" spans="1:6" x14ac:dyDescent="0.25">
      <c r="A266" s="4" t="s">
        <v>238</v>
      </c>
      <c r="B266">
        <v>20</v>
      </c>
      <c r="C266" t="s">
        <v>79</v>
      </c>
      <c r="D266">
        <v>150623</v>
      </c>
      <c r="E266" t="s">
        <v>330</v>
      </c>
      <c r="F266" s="7">
        <v>0.26</v>
      </c>
    </row>
    <row r="267" spans="1:6" x14ac:dyDescent="0.25">
      <c r="A267" s="4" t="s">
        <v>383</v>
      </c>
      <c r="B267">
        <v>26</v>
      </c>
      <c r="C267" t="s">
        <v>15</v>
      </c>
      <c r="D267">
        <v>187084</v>
      </c>
      <c r="E267" t="s">
        <v>332</v>
      </c>
      <c r="F267" s="7">
        <v>0.25</v>
      </c>
    </row>
    <row r="268" spans="1:6" x14ac:dyDescent="0.25">
      <c r="A268" s="4" t="s">
        <v>183</v>
      </c>
      <c r="B268">
        <v>19</v>
      </c>
      <c r="C268" t="s">
        <v>36</v>
      </c>
      <c r="D268">
        <v>116515</v>
      </c>
      <c r="E268" t="s">
        <v>332</v>
      </c>
      <c r="F268" s="7">
        <v>0.27</v>
      </c>
    </row>
    <row r="269" spans="1:6" x14ac:dyDescent="0.25">
      <c r="A269" s="4" t="s">
        <v>129</v>
      </c>
      <c r="B269">
        <v>30</v>
      </c>
      <c r="C269" t="s">
        <v>50</v>
      </c>
      <c r="D269">
        <v>141490</v>
      </c>
      <c r="E269" t="s">
        <v>330</v>
      </c>
      <c r="F269" s="7">
        <v>0.28000000000000003</v>
      </c>
    </row>
    <row r="270" spans="1:6" x14ac:dyDescent="0.25">
      <c r="A270" s="4" t="s">
        <v>185</v>
      </c>
      <c r="B270">
        <v>29</v>
      </c>
      <c r="C270" t="s">
        <v>79</v>
      </c>
      <c r="D270">
        <v>141155</v>
      </c>
      <c r="E270" t="s">
        <v>330</v>
      </c>
      <c r="F270" s="7">
        <v>0.28000000000000003</v>
      </c>
    </row>
    <row r="271" spans="1:6" x14ac:dyDescent="0.25">
      <c r="A271" s="4" t="s">
        <v>384</v>
      </c>
      <c r="B271">
        <v>27</v>
      </c>
      <c r="C271" t="s">
        <v>31</v>
      </c>
      <c r="D271">
        <v>149745</v>
      </c>
      <c r="E271" t="s">
        <v>332</v>
      </c>
      <c r="F271" s="7">
        <v>0.28000000000000003</v>
      </c>
    </row>
    <row r="272" spans="1:6" x14ac:dyDescent="0.25">
      <c r="A272" s="4" t="s">
        <v>119</v>
      </c>
      <c r="B272">
        <v>21</v>
      </c>
      <c r="C272" t="s">
        <v>50</v>
      </c>
      <c r="D272">
        <v>189944</v>
      </c>
      <c r="E272" t="s">
        <v>338</v>
      </c>
      <c r="F272" s="7">
        <v>0.23</v>
      </c>
    </row>
    <row r="273" spans="1:6" x14ac:dyDescent="0.25">
      <c r="A273" s="4" t="s">
        <v>83</v>
      </c>
      <c r="B273">
        <v>18</v>
      </c>
      <c r="C273" t="s">
        <v>50</v>
      </c>
      <c r="D273">
        <v>182109</v>
      </c>
      <c r="E273" t="s">
        <v>336</v>
      </c>
      <c r="F273" s="7">
        <v>0.24</v>
      </c>
    </row>
    <row r="274" spans="1:6" x14ac:dyDescent="0.25">
      <c r="A274" s="4" t="s">
        <v>376</v>
      </c>
      <c r="B274">
        <v>27</v>
      </c>
      <c r="C274" t="s">
        <v>72</v>
      </c>
      <c r="D274">
        <v>135143</v>
      </c>
      <c r="E274" t="s">
        <v>333</v>
      </c>
      <c r="F274" s="7">
        <v>0.21</v>
      </c>
    </row>
    <row r="275" spans="1:6" x14ac:dyDescent="0.25">
      <c r="A275" s="4" t="s">
        <v>376</v>
      </c>
      <c r="B275">
        <v>27</v>
      </c>
      <c r="C275" t="s">
        <v>72</v>
      </c>
      <c r="D275">
        <v>130400</v>
      </c>
      <c r="E275" t="s">
        <v>332</v>
      </c>
      <c r="F275" s="7">
        <v>0.28000000000000003</v>
      </c>
    </row>
    <row r="276" spans="1:6" x14ac:dyDescent="0.25">
      <c r="A276" s="4" t="s">
        <v>93</v>
      </c>
      <c r="B276">
        <v>30</v>
      </c>
      <c r="C276" t="s">
        <v>33</v>
      </c>
      <c r="D276">
        <v>139390</v>
      </c>
      <c r="E276" t="s">
        <v>332</v>
      </c>
      <c r="F276" s="7">
        <v>0.28000000000000003</v>
      </c>
    </row>
    <row r="277" spans="1:6" x14ac:dyDescent="0.25">
      <c r="A277" s="4" t="s">
        <v>385</v>
      </c>
      <c r="B277">
        <v>25</v>
      </c>
      <c r="C277" t="s">
        <v>21</v>
      </c>
      <c r="D277">
        <v>176821</v>
      </c>
      <c r="E277" t="s">
        <v>330</v>
      </c>
      <c r="F277" s="7">
        <v>0.27</v>
      </c>
    </row>
    <row r="278" spans="1:6" x14ac:dyDescent="0.25">
      <c r="A278" s="4" t="s">
        <v>272</v>
      </c>
      <c r="B278">
        <v>23</v>
      </c>
      <c r="C278" t="s">
        <v>27</v>
      </c>
      <c r="D278">
        <v>141686</v>
      </c>
      <c r="E278" t="s">
        <v>333</v>
      </c>
      <c r="F278" s="7">
        <v>0.22</v>
      </c>
    </row>
    <row r="279" spans="1:6" x14ac:dyDescent="0.25">
      <c r="A279" s="4" t="s">
        <v>238</v>
      </c>
      <c r="B279">
        <v>20</v>
      </c>
      <c r="C279" t="s">
        <v>79</v>
      </c>
      <c r="D279">
        <v>140119</v>
      </c>
      <c r="E279" t="s">
        <v>338</v>
      </c>
      <c r="F279" s="7">
        <v>0.23</v>
      </c>
    </row>
    <row r="280" spans="1:6" x14ac:dyDescent="0.25">
      <c r="A280" s="4" t="s">
        <v>262</v>
      </c>
      <c r="B280">
        <v>22</v>
      </c>
      <c r="C280" t="s">
        <v>17</v>
      </c>
      <c r="D280">
        <v>188230</v>
      </c>
      <c r="E280" t="s">
        <v>336</v>
      </c>
      <c r="F280" s="7">
        <v>0.25</v>
      </c>
    </row>
    <row r="281" spans="1:6" x14ac:dyDescent="0.25">
      <c r="A281" s="4" t="s">
        <v>65</v>
      </c>
      <c r="B281">
        <v>29</v>
      </c>
      <c r="C281" t="s">
        <v>45</v>
      </c>
      <c r="D281">
        <v>139202</v>
      </c>
      <c r="E281" t="s">
        <v>332</v>
      </c>
      <c r="F281" s="7">
        <v>0.28000000000000003</v>
      </c>
    </row>
    <row r="282" spans="1:6" x14ac:dyDescent="0.25">
      <c r="A282" s="4" t="s">
        <v>69</v>
      </c>
      <c r="B282">
        <v>22</v>
      </c>
      <c r="C282" t="s">
        <v>23</v>
      </c>
      <c r="D282">
        <v>129229</v>
      </c>
      <c r="E282" t="s">
        <v>333</v>
      </c>
      <c r="F282" s="7">
        <v>0.22</v>
      </c>
    </row>
    <row r="283" spans="1:6" x14ac:dyDescent="0.25">
      <c r="A283" s="4" t="s">
        <v>254</v>
      </c>
      <c r="B283">
        <v>30</v>
      </c>
      <c r="C283" t="s">
        <v>72</v>
      </c>
      <c r="D283">
        <v>104673</v>
      </c>
      <c r="E283" t="s">
        <v>336</v>
      </c>
      <c r="F283" s="7">
        <v>0.24</v>
      </c>
    </row>
    <row r="284" spans="1:6" x14ac:dyDescent="0.25">
      <c r="A284" s="4" t="s">
        <v>144</v>
      </c>
      <c r="B284">
        <v>29</v>
      </c>
      <c r="C284" t="s">
        <v>33</v>
      </c>
      <c r="D284">
        <v>176667</v>
      </c>
      <c r="E284" t="s">
        <v>330</v>
      </c>
      <c r="F284" s="7">
        <v>0.28000000000000003</v>
      </c>
    </row>
    <row r="285" spans="1:6" x14ac:dyDescent="0.25">
      <c r="A285" s="4" t="s">
        <v>85</v>
      </c>
      <c r="B285">
        <v>21</v>
      </c>
      <c r="C285" t="s">
        <v>45</v>
      </c>
      <c r="D285">
        <v>190789</v>
      </c>
      <c r="E285" t="s">
        <v>338</v>
      </c>
      <c r="F285" s="7">
        <v>0.21</v>
      </c>
    </row>
    <row r="286" spans="1:6" x14ac:dyDescent="0.25">
      <c r="A286" s="4" t="s">
        <v>337</v>
      </c>
      <c r="B286">
        <v>20</v>
      </c>
      <c r="C286" t="s">
        <v>27</v>
      </c>
      <c r="D286">
        <v>143841</v>
      </c>
      <c r="E286" t="s">
        <v>336</v>
      </c>
      <c r="F286" s="7">
        <v>0.23</v>
      </c>
    </row>
    <row r="287" spans="1:6" x14ac:dyDescent="0.25">
      <c r="A287" s="4" t="s">
        <v>386</v>
      </c>
      <c r="B287">
        <v>30</v>
      </c>
      <c r="C287" t="s">
        <v>17</v>
      </c>
      <c r="D287">
        <v>158153</v>
      </c>
      <c r="E287" t="s">
        <v>332</v>
      </c>
      <c r="F287" s="7">
        <v>0.25</v>
      </c>
    </row>
    <row r="288" spans="1:6" x14ac:dyDescent="0.25">
      <c r="A288" s="4" t="s">
        <v>52</v>
      </c>
      <c r="B288">
        <v>27</v>
      </c>
      <c r="C288" t="s">
        <v>25</v>
      </c>
      <c r="D288">
        <v>136611</v>
      </c>
      <c r="E288" t="s">
        <v>330</v>
      </c>
      <c r="F288" s="7">
        <v>0.27</v>
      </c>
    </row>
    <row r="289" spans="1:6" x14ac:dyDescent="0.25">
      <c r="A289" s="4" t="s">
        <v>121</v>
      </c>
      <c r="B289">
        <v>22</v>
      </c>
      <c r="C289" t="s">
        <v>45</v>
      </c>
      <c r="D289">
        <v>107302</v>
      </c>
      <c r="E289" t="s">
        <v>336</v>
      </c>
      <c r="F289" s="7">
        <v>0.23</v>
      </c>
    </row>
    <row r="290" spans="1:6" x14ac:dyDescent="0.25">
      <c r="A290" s="4" t="s">
        <v>126</v>
      </c>
      <c r="B290">
        <v>18</v>
      </c>
      <c r="C290" t="s">
        <v>36</v>
      </c>
      <c r="D290">
        <v>154250</v>
      </c>
      <c r="E290" t="s">
        <v>332</v>
      </c>
      <c r="F290" s="7">
        <v>0.28000000000000003</v>
      </c>
    </row>
    <row r="291" spans="1:6" x14ac:dyDescent="0.25">
      <c r="A291" s="4" t="s">
        <v>344</v>
      </c>
      <c r="B291">
        <v>30</v>
      </c>
      <c r="C291" t="s">
        <v>79</v>
      </c>
      <c r="D291">
        <v>140720</v>
      </c>
      <c r="E291" t="s">
        <v>336</v>
      </c>
      <c r="F291" s="7">
        <v>0.24</v>
      </c>
    </row>
    <row r="292" spans="1:6" x14ac:dyDescent="0.25">
      <c r="A292" s="4" t="s">
        <v>387</v>
      </c>
      <c r="B292">
        <v>25</v>
      </c>
      <c r="C292" t="s">
        <v>25</v>
      </c>
      <c r="D292">
        <v>160785</v>
      </c>
      <c r="E292" t="s">
        <v>338</v>
      </c>
      <c r="F292" s="7">
        <v>0.22</v>
      </c>
    </row>
    <row r="293" spans="1:6" x14ac:dyDescent="0.25">
      <c r="A293" s="4" t="s">
        <v>51</v>
      </c>
      <c r="B293">
        <v>24</v>
      </c>
      <c r="C293" t="s">
        <v>33</v>
      </c>
      <c r="D293">
        <v>164659</v>
      </c>
      <c r="E293" t="s">
        <v>330</v>
      </c>
      <c r="F293" s="7">
        <v>0.27</v>
      </c>
    </row>
    <row r="294" spans="1:6" x14ac:dyDescent="0.25">
      <c r="A294" s="4" t="s">
        <v>213</v>
      </c>
      <c r="B294">
        <v>28</v>
      </c>
      <c r="C294" t="s">
        <v>33</v>
      </c>
      <c r="D294">
        <v>190914</v>
      </c>
      <c r="E294" t="s">
        <v>338</v>
      </c>
      <c r="F294" s="7">
        <v>0.23</v>
      </c>
    </row>
    <row r="295" spans="1:6" x14ac:dyDescent="0.25">
      <c r="A295" s="4" t="s">
        <v>388</v>
      </c>
      <c r="B295">
        <v>18</v>
      </c>
      <c r="C295" t="s">
        <v>62</v>
      </c>
      <c r="D295">
        <v>172899</v>
      </c>
      <c r="E295" t="s">
        <v>330</v>
      </c>
      <c r="F295" s="7">
        <v>0.25</v>
      </c>
    </row>
    <row r="296" spans="1:6" x14ac:dyDescent="0.25">
      <c r="A296" s="4" t="s">
        <v>202</v>
      </c>
      <c r="B296">
        <v>19</v>
      </c>
      <c r="C296" t="s">
        <v>36</v>
      </c>
      <c r="D296">
        <v>162643</v>
      </c>
      <c r="E296" t="s">
        <v>332</v>
      </c>
      <c r="F296" s="7">
        <v>0.25</v>
      </c>
    </row>
    <row r="297" spans="1:6" x14ac:dyDescent="0.25">
      <c r="A297" s="4" t="s">
        <v>369</v>
      </c>
      <c r="B297">
        <v>28</v>
      </c>
      <c r="C297" t="s">
        <v>50</v>
      </c>
      <c r="D297">
        <v>160023</v>
      </c>
      <c r="E297" t="s">
        <v>332</v>
      </c>
      <c r="F297" s="7">
        <v>0.25</v>
      </c>
    </row>
    <row r="298" spans="1:6" x14ac:dyDescent="0.25">
      <c r="A298" s="4" t="s">
        <v>389</v>
      </c>
      <c r="B298">
        <v>21</v>
      </c>
      <c r="C298" t="s">
        <v>79</v>
      </c>
      <c r="D298">
        <v>163450</v>
      </c>
      <c r="E298" t="s">
        <v>330</v>
      </c>
      <c r="F298" s="7">
        <v>0.26</v>
      </c>
    </row>
    <row r="299" spans="1:6" x14ac:dyDescent="0.25">
      <c r="A299" s="4" t="s">
        <v>366</v>
      </c>
      <c r="B299">
        <v>21</v>
      </c>
      <c r="C299" t="s">
        <v>79</v>
      </c>
      <c r="D299">
        <v>187614</v>
      </c>
      <c r="E299" t="s">
        <v>338</v>
      </c>
      <c r="F299" s="7">
        <v>0.21</v>
      </c>
    </row>
    <row r="300" spans="1:6" x14ac:dyDescent="0.25">
      <c r="A300" s="4" t="s">
        <v>348</v>
      </c>
      <c r="B300">
        <v>18</v>
      </c>
      <c r="C300" t="s">
        <v>15</v>
      </c>
      <c r="D300">
        <v>141452</v>
      </c>
      <c r="E300" t="s">
        <v>336</v>
      </c>
      <c r="F300" s="7">
        <v>0.23</v>
      </c>
    </row>
    <row r="301" spans="1:6" x14ac:dyDescent="0.25">
      <c r="A301" s="4" t="s">
        <v>244</v>
      </c>
      <c r="B301">
        <v>28</v>
      </c>
      <c r="C301" t="s">
        <v>15</v>
      </c>
      <c r="D301">
        <v>119631</v>
      </c>
      <c r="E301" t="s">
        <v>330</v>
      </c>
      <c r="F301" s="7">
        <v>0.27</v>
      </c>
    </row>
    <row r="302" spans="1:6" x14ac:dyDescent="0.25">
      <c r="A302" s="4" t="s">
        <v>243</v>
      </c>
      <c r="B302">
        <v>24</v>
      </c>
      <c r="C302" t="s">
        <v>21</v>
      </c>
      <c r="D302">
        <v>188204</v>
      </c>
      <c r="E302" t="s">
        <v>338</v>
      </c>
      <c r="F302" s="7">
        <v>0.23</v>
      </c>
    </row>
    <row r="303" spans="1:6" x14ac:dyDescent="0.25">
      <c r="A303" s="4" t="s">
        <v>386</v>
      </c>
      <c r="B303">
        <v>24</v>
      </c>
      <c r="C303" t="s">
        <v>17</v>
      </c>
      <c r="D303">
        <v>143841</v>
      </c>
      <c r="E303" t="s">
        <v>336</v>
      </c>
      <c r="F303" s="7">
        <v>0.25</v>
      </c>
    </row>
    <row r="304" spans="1:6" x14ac:dyDescent="0.25">
      <c r="A304" s="4" t="s">
        <v>390</v>
      </c>
      <c r="B304">
        <v>27</v>
      </c>
      <c r="C304" t="s">
        <v>45</v>
      </c>
      <c r="D304">
        <v>136644</v>
      </c>
      <c r="E304" t="s">
        <v>330</v>
      </c>
      <c r="F304" s="7">
        <v>0.27</v>
      </c>
    </row>
    <row r="305" spans="1:6" x14ac:dyDescent="0.25">
      <c r="A305" s="4" t="s">
        <v>47</v>
      </c>
      <c r="B305">
        <v>25</v>
      </c>
      <c r="C305" t="s">
        <v>72</v>
      </c>
      <c r="D305">
        <v>151411</v>
      </c>
      <c r="E305" t="s">
        <v>333</v>
      </c>
      <c r="F305" s="7">
        <v>0.22</v>
      </c>
    </row>
    <row r="306" spans="1:6" x14ac:dyDescent="0.25">
      <c r="A306" s="4" t="s">
        <v>64</v>
      </c>
      <c r="B306">
        <v>23</v>
      </c>
      <c r="C306" t="s">
        <v>36</v>
      </c>
      <c r="D306">
        <v>151387</v>
      </c>
      <c r="E306" t="s">
        <v>332</v>
      </c>
      <c r="F306" s="7">
        <v>0.28000000000000003</v>
      </c>
    </row>
    <row r="307" spans="1:6" x14ac:dyDescent="0.25">
      <c r="A307" s="4" t="s">
        <v>67</v>
      </c>
      <c r="B307">
        <v>27</v>
      </c>
      <c r="C307" t="s">
        <v>19</v>
      </c>
      <c r="D307">
        <v>138991</v>
      </c>
      <c r="E307" t="s">
        <v>338</v>
      </c>
      <c r="F307" s="7">
        <v>0.22</v>
      </c>
    </row>
    <row r="308" spans="1:6" x14ac:dyDescent="0.25">
      <c r="A308" s="4" t="s">
        <v>391</v>
      </c>
      <c r="B308">
        <v>19</v>
      </c>
      <c r="C308" t="s">
        <v>50</v>
      </c>
      <c r="D308">
        <v>172199</v>
      </c>
      <c r="E308" t="s">
        <v>333</v>
      </c>
      <c r="F308" s="7">
        <v>0.23</v>
      </c>
    </row>
    <row r="309" spans="1:6" x14ac:dyDescent="0.25">
      <c r="A309" s="4" t="s">
        <v>254</v>
      </c>
      <c r="B309">
        <v>24</v>
      </c>
      <c r="C309" t="s">
        <v>15</v>
      </c>
      <c r="D309">
        <v>144441</v>
      </c>
      <c r="E309" t="s">
        <v>332</v>
      </c>
      <c r="F309" s="7">
        <v>0.25</v>
      </c>
    </row>
    <row r="310" spans="1:6" x14ac:dyDescent="0.25">
      <c r="A310" s="4" t="s">
        <v>339</v>
      </c>
      <c r="B310">
        <v>21</v>
      </c>
      <c r="C310" t="s">
        <v>21</v>
      </c>
      <c r="D310">
        <v>167570</v>
      </c>
      <c r="E310" t="s">
        <v>338</v>
      </c>
      <c r="F310" s="7">
        <v>0.21</v>
      </c>
    </row>
    <row r="311" spans="1:6" x14ac:dyDescent="0.25">
      <c r="A311" s="4" t="s">
        <v>348</v>
      </c>
      <c r="B311">
        <v>23</v>
      </c>
      <c r="C311" t="s">
        <v>15</v>
      </c>
      <c r="D311">
        <v>145605</v>
      </c>
      <c r="E311" t="s">
        <v>338</v>
      </c>
      <c r="F311" s="7">
        <v>0.23</v>
      </c>
    </row>
    <row r="312" spans="1:6" x14ac:dyDescent="0.25">
      <c r="A312" s="4" t="s">
        <v>186</v>
      </c>
      <c r="B312">
        <v>29</v>
      </c>
      <c r="C312" t="s">
        <v>23</v>
      </c>
      <c r="D312">
        <v>125852</v>
      </c>
      <c r="E312" t="s">
        <v>330</v>
      </c>
      <c r="F312" s="7">
        <v>0.25</v>
      </c>
    </row>
    <row r="313" spans="1:6" x14ac:dyDescent="0.25">
      <c r="A313" s="4" t="s">
        <v>100</v>
      </c>
      <c r="B313">
        <v>24</v>
      </c>
      <c r="C313" t="s">
        <v>33</v>
      </c>
      <c r="D313">
        <v>158509</v>
      </c>
      <c r="E313" t="s">
        <v>330</v>
      </c>
      <c r="F313" s="7">
        <v>0.27</v>
      </c>
    </row>
    <row r="314" spans="1:6" x14ac:dyDescent="0.25">
      <c r="A314" s="4" t="s">
        <v>189</v>
      </c>
      <c r="B314">
        <v>19</v>
      </c>
      <c r="C314" t="s">
        <v>23</v>
      </c>
      <c r="D314">
        <v>178762</v>
      </c>
      <c r="E314" t="s">
        <v>338</v>
      </c>
      <c r="F314" s="7">
        <v>0.23</v>
      </c>
    </row>
    <row r="315" spans="1:6" x14ac:dyDescent="0.25">
      <c r="A315" s="4" t="s">
        <v>388</v>
      </c>
      <c r="B315">
        <v>19</v>
      </c>
      <c r="C315" t="s">
        <v>23</v>
      </c>
      <c r="D315">
        <v>190167</v>
      </c>
      <c r="E315" t="s">
        <v>336</v>
      </c>
      <c r="F315" s="7">
        <v>0.23</v>
      </c>
    </row>
    <row r="316" spans="1:6" x14ac:dyDescent="0.25">
      <c r="A316" s="4" t="s">
        <v>218</v>
      </c>
      <c r="B316">
        <v>18</v>
      </c>
      <c r="C316" t="s">
        <v>21</v>
      </c>
      <c r="D316">
        <v>131791</v>
      </c>
      <c r="E316" t="s">
        <v>336</v>
      </c>
      <c r="F316" s="7">
        <v>0.23</v>
      </c>
    </row>
    <row r="317" spans="1:6" x14ac:dyDescent="0.25">
      <c r="A317" s="4" t="s">
        <v>392</v>
      </c>
      <c r="B317">
        <v>20</v>
      </c>
      <c r="C317" t="s">
        <v>33</v>
      </c>
      <c r="D317">
        <v>151550</v>
      </c>
      <c r="E317" t="s">
        <v>330</v>
      </c>
      <c r="F317" s="7">
        <v>0.27</v>
      </c>
    </row>
    <row r="318" spans="1:6" x14ac:dyDescent="0.25">
      <c r="A318" s="4" t="s">
        <v>315</v>
      </c>
      <c r="B318">
        <v>25</v>
      </c>
      <c r="C318" t="s">
        <v>79</v>
      </c>
      <c r="D318">
        <v>114024</v>
      </c>
      <c r="E318" t="s">
        <v>338</v>
      </c>
      <c r="F318" s="7">
        <v>0.22</v>
      </c>
    </row>
    <row r="319" spans="1:6" x14ac:dyDescent="0.25">
      <c r="A319" s="4" t="s">
        <v>257</v>
      </c>
      <c r="B319">
        <v>29</v>
      </c>
      <c r="C319" t="s">
        <v>36</v>
      </c>
      <c r="D319">
        <v>196801</v>
      </c>
      <c r="E319" t="s">
        <v>338</v>
      </c>
      <c r="F319" s="7">
        <v>0.21</v>
      </c>
    </row>
    <row r="320" spans="1:6" x14ac:dyDescent="0.25">
      <c r="A320" s="4" t="s">
        <v>393</v>
      </c>
      <c r="B320">
        <v>26</v>
      </c>
      <c r="C320" t="s">
        <v>33</v>
      </c>
      <c r="D320">
        <v>164717</v>
      </c>
      <c r="E320" t="s">
        <v>336</v>
      </c>
      <c r="F320" s="7">
        <v>0.23</v>
      </c>
    </row>
    <row r="321" spans="1:6" x14ac:dyDescent="0.25">
      <c r="A321" s="4" t="s">
        <v>139</v>
      </c>
      <c r="B321">
        <v>30</v>
      </c>
      <c r="C321" t="s">
        <v>27</v>
      </c>
      <c r="D321">
        <v>134958</v>
      </c>
      <c r="E321" t="s">
        <v>338</v>
      </c>
      <c r="F321" s="7">
        <v>0.21</v>
      </c>
    </row>
    <row r="322" spans="1:6" x14ac:dyDescent="0.25">
      <c r="A322" s="4" t="s">
        <v>257</v>
      </c>
      <c r="B322">
        <v>27</v>
      </c>
      <c r="C322" t="s">
        <v>36</v>
      </c>
      <c r="D322">
        <v>181100</v>
      </c>
      <c r="E322" t="s">
        <v>336</v>
      </c>
      <c r="F322" s="7">
        <v>0.25</v>
      </c>
    </row>
    <row r="323" spans="1:6" x14ac:dyDescent="0.25">
      <c r="A323" s="4" t="s">
        <v>69</v>
      </c>
      <c r="B323">
        <v>27</v>
      </c>
      <c r="C323" t="s">
        <v>45</v>
      </c>
      <c r="D323">
        <v>153867</v>
      </c>
      <c r="E323" t="s">
        <v>330</v>
      </c>
      <c r="F323" s="7">
        <v>0.25</v>
      </c>
    </row>
    <row r="324" spans="1:6" x14ac:dyDescent="0.25">
      <c r="A324" s="4" t="s">
        <v>69</v>
      </c>
      <c r="B324">
        <v>23</v>
      </c>
      <c r="C324" t="s">
        <v>21</v>
      </c>
      <c r="D324">
        <v>114080</v>
      </c>
      <c r="E324" t="s">
        <v>330</v>
      </c>
      <c r="F324" s="7">
        <v>0.25</v>
      </c>
    </row>
    <row r="325" spans="1:6" x14ac:dyDescent="0.25">
      <c r="A325" s="4" t="s">
        <v>319</v>
      </c>
      <c r="B325">
        <v>28</v>
      </c>
      <c r="C325" t="s">
        <v>45</v>
      </c>
      <c r="D325">
        <v>195032</v>
      </c>
      <c r="E325" t="s">
        <v>330</v>
      </c>
      <c r="F325" s="7">
        <v>0.25</v>
      </c>
    </row>
    <row r="326" spans="1:6" x14ac:dyDescent="0.25">
      <c r="A326" s="4" t="s">
        <v>387</v>
      </c>
      <c r="B326">
        <v>27</v>
      </c>
      <c r="C326" t="s">
        <v>45</v>
      </c>
      <c r="D326">
        <v>170631</v>
      </c>
      <c r="E326" t="s">
        <v>338</v>
      </c>
      <c r="F326" s="7">
        <v>0.22</v>
      </c>
    </row>
    <row r="327" spans="1:6" x14ac:dyDescent="0.25">
      <c r="A327" s="4" t="s">
        <v>341</v>
      </c>
      <c r="B327">
        <v>19</v>
      </c>
      <c r="C327" t="s">
        <v>62</v>
      </c>
      <c r="D327">
        <v>148670</v>
      </c>
      <c r="E327" t="s">
        <v>333</v>
      </c>
      <c r="F327" s="7">
        <v>0.22</v>
      </c>
    </row>
    <row r="328" spans="1:6" x14ac:dyDescent="0.25">
      <c r="A328" s="4" t="s">
        <v>393</v>
      </c>
      <c r="B328">
        <v>27</v>
      </c>
      <c r="C328" t="s">
        <v>50</v>
      </c>
      <c r="D328">
        <v>105866</v>
      </c>
      <c r="E328" t="s">
        <v>336</v>
      </c>
      <c r="F328" s="7">
        <v>0.24</v>
      </c>
    </row>
    <row r="329" spans="1:6" x14ac:dyDescent="0.25">
      <c r="A329" s="4" t="s">
        <v>394</v>
      </c>
      <c r="B329">
        <v>22</v>
      </c>
      <c r="C329" t="s">
        <v>25</v>
      </c>
      <c r="D329">
        <v>172929</v>
      </c>
      <c r="E329" t="s">
        <v>336</v>
      </c>
      <c r="F329" s="7">
        <v>0.25</v>
      </c>
    </row>
    <row r="330" spans="1:6" x14ac:dyDescent="0.25">
      <c r="A330" s="4" t="s">
        <v>90</v>
      </c>
      <c r="B330">
        <v>28</v>
      </c>
      <c r="C330" t="s">
        <v>50</v>
      </c>
      <c r="D330">
        <v>126546</v>
      </c>
      <c r="E330" t="s">
        <v>333</v>
      </c>
      <c r="F330" s="7">
        <v>0.22</v>
      </c>
    </row>
    <row r="331" spans="1:6" x14ac:dyDescent="0.25">
      <c r="A331" s="4" t="s">
        <v>54</v>
      </c>
      <c r="B331">
        <v>18</v>
      </c>
      <c r="C331" t="s">
        <v>31</v>
      </c>
      <c r="D331">
        <v>178956</v>
      </c>
      <c r="E331" t="s">
        <v>333</v>
      </c>
      <c r="F331" s="7">
        <v>0.22</v>
      </c>
    </row>
    <row r="332" spans="1:6" x14ac:dyDescent="0.25">
      <c r="A332" s="4" t="s">
        <v>342</v>
      </c>
      <c r="B332">
        <v>30</v>
      </c>
      <c r="C332" t="s">
        <v>72</v>
      </c>
      <c r="D332">
        <v>128804</v>
      </c>
      <c r="E332" t="s">
        <v>332</v>
      </c>
      <c r="F332" s="7">
        <v>0.28000000000000003</v>
      </c>
    </row>
    <row r="333" spans="1:6" x14ac:dyDescent="0.25">
      <c r="A333" s="4" t="s">
        <v>165</v>
      </c>
      <c r="B333">
        <v>20</v>
      </c>
      <c r="C333" t="s">
        <v>19</v>
      </c>
      <c r="D333">
        <v>155868</v>
      </c>
      <c r="E333" t="s">
        <v>333</v>
      </c>
      <c r="F333" s="7">
        <v>0.23</v>
      </c>
    </row>
    <row r="334" spans="1:6" x14ac:dyDescent="0.25">
      <c r="A334" s="4" t="s">
        <v>65</v>
      </c>
      <c r="B334">
        <v>23</v>
      </c>
      <c r="C334" t="s">
        <v>19</v>
      </c>
      <c r="D334">
        <v>165208</v>
      </c>
      <c r="E334" t="s">
        <v>330</v>
      </c>
      <c r="F334" s="7">
        <v>0.27</v>
      </c>
    </row>
    <row r="335" spans="1:6" x14ac:dyDescent="0.25">
      <c r="A335" s="4" t="s">
        <v>283</v>
      </c>
      <c r="B335">
        <v>27</v>
      </c>
      <c r="C335" t="s">
        <v>17</v>
      </c>
      <c r="D335">
        <v>100064</v>
      </c>
      <c r="E335" t="s">
        <v>336</v>
      </c>
      <c r="F335" s="7">
        <v>0.23</v>
      </c>
    </row>
    <row r="336" spans="1:6" x14ac:dyDescent="0.25">
      <c r="A336" s="4" t="s">
        <v>395</v>
      </c>
      <c r="B336">
        <v>28</v>
      </c>
      <c r="C336" t="s">
        <v>45</v>
      </c>
      <c r="D336">
        <v>125016</v>
      </c>
      <c r="E336" t="s">
        <v>330</v>
      </c>
      <c r="F336" s="7">
        <v>0.26</v>
      </c>
    </row>
    <row r="337" spans="1:6" x14ac:dyDescent="0.25">
      <c r="A337" s="4" t="s">
        <v>163</v>
      </c>
      <c r="B337">
        <v>18</v>
      </c>
      <c r="C337" t="s">
        <v>19</v>
      </c>
      <c r="D337">
        <v>134453</v>
      </c>
      <c r="E337" t="s">
        <v>338</v>
      </c>
      <c r="F337" s="7">
        <v>0.21</v>
      </c>
    </row>
    <row r="338" spans="1:6" x14ac:dyDescent="0.25">
      <c r="A338" s="4" t="s">
        <v>306</v>
      </c>
      <c r="B338">
        <v>23</v>
      </c>
      <c r="C338" t="s">
        <v>21</v>
      </c>
      <c r="D338">
        <v>104337</v>
      </c>
      <c r="E338" t="s">
        <v>330</v>
      </c>
      <c r="F338" s="7">
        <v>0.28000000000000003</v>
      </c>
    </row>
    <row r="339" spans="1:6" x14ac:dyDescent="0.25">
      <c r="A339" s="4" t="s">
        <v>257</v>
      </c>
      <c r="B339">
        <v>28</v>
      </c>
      <c r="C339" t="s">
        <v>23</v>
      </c>
      <c r="D339">
        <v>135719</v>
      </c>
      <c r="E339" t="s">
        <v>336</v>
      </c>
      <c r="F339" s="7">
        <v>0.25</v>
      </c>
    </row>
    <row r="340" spans="1:6" x14ac:dyDescent="0.25">
      <c r="A340" s="4" t="s">
        <v>241</v>
      </c>
      <c r="B340">
        <v>24</v>
      </c>
      <c r="C340" t="s">
        <v>45</v>
      </c>
      <c r="D340">
        <v>104403</v>
      </c>
      <c r="E340" t="s">
        <v>338</v>
      </c>
      <c r="F340" s="7">
        <v>0.21</v>
      </c>
    </row>
    <row r="341" spans="1:6" x14ac:dyDescent="0.25">
      <c r="A341" s="4" t="s">
        <v>396</v>
      </c>
      <c r="B341">
        <v>21</v>
      </c>
      <c r="C341" t="s">
        <v>25</v>
      </c>
      <c r="D341">
        <v>167317</v>
      </c>
      <c r="E341" t="s">
        <v>336</v>
      </c>
      <c r="F341" s="7">
        <v>0.24</v>
      </c>
    </row>
    <row r="342" spans="1:6" x14ac:dyDescent="0.25">
      <c r="A342" s="4" t="s">
        <v>300</v>
      </c>
      <c r="B342">
        <v>28</v>
      </c>
      <c r="C342" t="s">
        <v>27</v>
      </c>
      <c r="D342">
        <v>164234</v>
      </c>
      <c r="E342" t="s">
        <v>333</v>
      </c>
      <c r="F342" s="7">
        <v>0.22</v>
      </c>
    </row>
    <row r="343" spans="1:6" x14ac:dyDescent="0.25">
      <c r="A343" s="4" t="s">
        <v>73</v>
      </c>
      <c r="B343">
        <v>20</v>
      </c>
      <c r="C343" t="s">
        <v>19</v>
      </c>
      <c r="D343">
        <v>133864</v>
      </c>
      <c r="E343" t="s">
        <v>330</v>
      </c>
      <c r="F343" s="7">
        <v>0.25</v>
      </c>
    </row>
    <row r="344" spans="1:6" x14ac:dyDescent="0.25">
      <c r="A344" s="4" t="s">
        <v>359</v>
      </c>
      <c r="B344">
        <v>18</v>
      </c>
      <c r="C344" t="s">
        <v>79</v>
      </c>
      <c r="D344">
        <v>106590</v>
      </c>
      <c r="E344" t="s">
        <v>336</v>
      </c>
      <c r="F344" s="7">
        <v>0.24</v>
      </c>
    </row>
    <row r="345" spans="1:6" x14ac:dyDescent="0.25">
      <c r="A345" s="4" t="s">
        <v>85</v>
      </c>
      <c r="B345">
        <v>25</v>
      </c>
      <c r="C345" t="s">
        <v>27</v>
      </c>
      <c r="D345">
        <v>165704</v>
      </c>
      <c r="E345" t="s">
        <v>330</v>
      </c>
      <c r="F345" s="7">
        <v>0.26</v>
      </c>
    </row>
    <row r="346" spans="1:6" x14ac:dyDescent="0.25">
      <c r="A346" s="4" t="s">
        <v>249</v>
      </c>
      <c r="B346">
        <v>20</v>
      </c>
      <c r="C346" t="s">
        <v>25</v>
      </c>
      <c r="D346">
        <v>161840</v>
      </c>
      <c r="E346" t="s">
        <v>332</v>
      </c>
      <c r="F346" s="7">
        <v>0.28000000000000003</v>
      </c>
    </row>
    <row r="347" spans="1:6" x14ac:dyDescent="0.25">
      <c r="A347" s="4" t="s">
        <v>16</v>
      </c>
      <c r="B347">
        <v>21</v>
      </c>
      <c r="C347" t="s">
        <v>25</v>
      </c>
      <c r="D347">
        <v>132725</v>
      </c>
      <c r="E347" t="s">
        <v>332</v>
      </c>
      <c r="F347" s="7">
        <v>0.28000000000000003</v>
      </c>
    </row>
    <row r="348" spans="1:6" x14ac:dyDescent="0.25">
      <c r="A348" s="4" t="s">
        <v>300</v>
      </c>
      <c r="B348">
        <v>30</v>
      </c>
      <c r="C348" t="s">
        <v>79</v>
      </c>
      <c r="D348">
        <v>134648</v>
      </c>
      <c r="E348" t="s">
        <v>333</v>
      </c>
      <c r="F348" s="7">
        <v>0.22</v>
      </c>
    </row>
    <row r="349" spans="1:6" x14ac:dyDescent="0.25">
      <c r="A349" s="4" t="s">
        <v>274</v>
      </c>
      <c r="B349">
        <v>29</v>
      </c>
      <c r="C349" t="s">
        <v>17</v>
      </c>
      <c r="D349">
        <v>184622</v>
      </c>
      <c r="E349" t="s">
        <v>336</v>
      </c>
      <c r="F349" s="7">
        <v>0.25</v>
      </c>
    </row>
    <row r="350" spans="1:6" x14ac:dyDescent="0.25">
      <c r="A350" s="4" t="s">
        <v>254</v>
      </c>
      <c r="B350">
        <v>27</v>
      </c>
      <c r="C350" t="s">
        <v>17</v>
      </c>
      <c r="D350">
        <v>108021</v>
      </c>
      <c r="E350" t="s">
        <v>338</v>
      </c>
      <c r="F350" s="7">
        <v>0.22</v>
      </c>
    </row>
    <row r="351" spans="1:6" x14ac:dyDescent="0.25">
      <c r="A351" s="4" t="s">
        <v>59</v>
      </c>
      <c r="B351">
        <v>25</v>
      </c>
      <c r="C351" t="s">
        <v>19</v>
      </c>
      <c r="D351">
        <v>122393</v>
      </c>
      <c r="E351" t="s">
        <v>332</v>
      </c>
      <c r="F351" s="7">
        <v>0.26</v>
      </c>
    </row>
    <row r="352" spans="1:6" x14ac:dyDescent="0.25">
      <c r="A352" s="4" t="s">
        <v>161</v>
      </c>
      <c r="B352">
        <v>30</v>
      </c>
      <c r="C352" t="s">
        <v>62</v>
      </c>
      <c r="D352">
        <v>138038</v>
      </c>
      <c r="E352" t="s">
        <v>336</v>
      </c>
      <c r="F352" s="7">
        <v>0.23</v>
      </c>
    </row>
    <row r="353" spans="1:6" x14ac:dyDescent="0.25">
      <c r="A353" s="4" t="s">
        <v>397</v>
      </c>
      <c r="B353">
        <v>23</v>
      </c>
      <c r="C353" t="s">
        <v>27</v>
      </c>
      <c r="D353">
        <v>196771</v>
      </c>
      <c r="E353" t="s">
        <v>332</v>
      </c>
      <c r="F353" s="7">
        <v>0.27</v>
      </c>
    </row>
    <row r="354" spans="1:6" x14ac:dyDescent="0.25">
      <c r="A354" s="4" t="s">
        <v>81</v>
      </c>
      <c r="B354">
        <v>21</v>
      </c>
      <c r="C354" t="s">
        <v>23</v>
      </c>
      <c r="D354">
        <v>182862</v>
      </c>
      <c r="E354" t="s">
        <v>338</v>
      </c>
      <c r="F354" s="7">
        <v>0.21</v>
      </c>
    </row>
    <row r="355" spans="1:6" x14ac:dyDescent="0.25">
      <c r="A355" s="4" t="s">
        <v>398</v>
      </c>
      <c r="B355">
        <v>30</v>
      </c>
      <c r="C355" t="s">
        <v>33</v>
      </c>
      <c r="D355">
        <v>140424</v>
      </c>
      <c r="E355" t="s">
        <v>336</v>
      </c>
      <c r="F355" s="7">
        <v>0.25</v>
      </c>
    </row>
    <row r="356" spans="1:6" x14ac:dyDescent="0.25">
      <c r="A356" s="4" t="s">
        <v>65</v>
      </c>
      <c r="B356">
        <v>24</v>
      </c>
      <c r="C356" t="s">
        <v>31</v>
      </c>
      <c r="D356">
        <v>169533</v>
      </c>
      <c r="E356" t="s">
        <v>332</v>
      </c>
      <c r="F356" s="7">
        <v>0.26</v>
      </c>
    </row>
    <row r="357" spans="1:6" x14ac:dyDescent="0.25">
      <c r="A357" s="4" t="s">
        <v>291</v>
      </c>
      <c r="B357">
        <v>19</v>
      </c>
      <c r="C357" t="s">
        <v>72</v>
      </c>
      <c r="D357">
        <v>168926</v>
      </c>
      <c r="E357" t="s">
        <v>330</v>
      </c>
      <c r="F357" s="7">
        <v>0.28000000000000003</v>
      </c>
    </row>
    <row r="358" spans="1:6" x14ac:dyDescent="0.25">
      <c r="A358" s="4" t="s">
        <v>68</v>
      </c>
      <c r="B358">
        <v>30</v>
      </c>
      <c r="C358" t="s">
        <v>33</v>
      </c>
      <c r="D358">
        <v>134384</v>
      </c>
      <c r="E358" t="s">
        <v>338</v>
      </c>
      <c r="F358" s="7">
        <v>0.23</v>
      </c>
    </row>
    <row r="359" spans="1:6" x14ac:dyDescent="0.25">
      <c r="A359" s="4" t="s">
        <v>83</v>
      </c>
      <c r="B359">
        <v>24</v>
      </c>
      <c r="C359" t="s">
        <v>23</v>
      </c>
      <c r="D359">
        <v>176069</v>
      </c>
      <c r="E359" t="s">
        <v>336</v>
      </c>
      <c r="F359" s="7">
        <v>0.24</v>
      </c>
    </row>
    <row r="360" spans="1:6" x14ac:dyDescent="0.25">
      <c r="A360" s="4" t="s">
        <v>372</v>
      </c>
      <c r="B360">
        <v>30</v>
      </c>
      <c r="C360" t="s">
        <v>72</v>
      </c>
      <c r="D360">
        <v>148361</v>
      </c>
      <c r="E360" t="s">
        <v>336</v>
      </c>
      <c r="F360" s="7">
        <v>0.23</v>
      </c>
    </row>
    <row r="361" spans="1:6" x14ac:dyDescent="0.25">
      <c r="A361" s="4" t="s">
        <v>22</v>
      </c>
      <c r="B361">
        <v>19</v>
      </c>
      <c r="C361" t="s">
        <v>27</v>
      </c>
      <c r="D361">
        <v>185322</v>
      </c>
      <c r="E361" t="s">
        <v>332</v>
      </c>
      <c r="F361" s="7">
        <v>0.26</v>
      </c>
    </row>
    <row r="362" spans="1:6" x14ac:dyDescent="0.25">
      <c r="A362" s="4" t="s">
        <v>399</v>
      </c>
      <c r="B362">
        <v>26</v>
      </c>
      <c r="C362" t="s">
        <v>79</v>
      </c>
      <c r="D362">
        <v>155487</v>
      </c>
      <c r="E362" t="s">
        <v>333</v>
      </c>
      <c r="F362" s="7">
        <v>0.21</v>
      </c>
    </row>
    <row r="363" spans="1:6" x14ac:dyDescent="0.25">
      <c r="A363" s="4" t="s">
        <v>249</v>
      </c>
      <c r="B363">
        <v>24</v>
      </c>
      <c r="C363" t="s">
        <v>72</v>
      </c>
      <c r="D363">
        <v>168096</v>
      </c>
      <c r="E363" t="s">
        <v>338</v>
      </c>
      <c r="F363" s="7">
        <v>0.23</v>
      </c>
    </row>
    <row r="364" spans="1:6" x14ac:dyDescent="0.25">
      <c r="A364" s="4" t="s">
        <v>307</v>
      </c>
      <c r="B364">
        <v>23</v>
      </c>
      <c r="C364" t="s">
        <v>15</v>
      </c>
      <c r="D364">
        <v>188730</v>
      </c>
      <c r="E364" t="s">
        <v>332</v>
      </c>
      <c r="F364" s="7">
        <v>0.26</v>
      </c>
    </row>
    <row r="365" spans="1:6" x14ac:dyDescent="0.25">
      <c r="A365" s="4" t="s">
        <v>159</v>
      </c>
      <c r="B365">
        <v>23</v>
      </c>
      <c r="C365" t="s">
        <v>27</v>
      </c>
      <c r="D365">
        <v>185652</v>
      </c>
      <c r="E365" t="s">
        <v>330</v>
      </c>
      <c r="F365" s="7">
        <v>0.28000000000000003</v>
      </c>
    </row>
    <row r="366" spans="1:6" x14ac:dyDescent="0.25">
      <c r="A366" s="4" t="s">
        <v>270</v>
      </c>
      <c r="B366">
        <v>21</v>
      </c>
      <c r="C366" t="s">
        <v>79</v>
      </c>
      <c r="D366">
        <v>169732</v>
      </c>
      <c r="E366" t="s">
        <v>332</v>
      </c>
      <c r="F366" s="7">
        <v>0.26</v>
      </c>
    </row>
    <row r="367" spans="1:6" x14ac:dyDescent="0.25">
      <c r="A367" s="4" t="s">
        <v>102</v>
      </c>
      <c r="B367">
        <v>24</v>
      </c>
      <c r="C367" t="s">
        <v>31</v>
      </c>
      <c r="D367">
        <v>155233</v>
      </c>
      <c r="E367" t="s">
        <v>332</v>
      </c>
      <c r="F367" s="7">
        <v>0.27</v>
      </c>
    </row>
    <row r="368" spans="1:6" x14ac:dyDescent="0.25">
      <c r="A368" s="4" t="s">
        <v>375</v>
      </c>
      <c r="B368">
        <v>28</v>
      </c>
      <c r="C368" t="s">
        <v>23</v>
      </c>
      <c r="D368">
        <v>104485</v>
      </c>
      <c r="E368" t="s">
        <v>338</v>
      </c>
      <c r="F368" s="7">
        <v>0.21</v>
      </c>
    </row>
    <row r="369" spans="1:6" x14ac:dyDescent="0.25">
      <c r="A369" s="4" t="s">
        <v>282</v>
      </c>
      <c r="B369">
        <v>19</v>
      </c>
      <c r="C369" t="s">
        <v>36</v>
      </c>
      <c r="D369">
        <v>125727</v>
      </c>
      <c r="E369" t="s">
        <v>333</v>
      </c>
      <c r="F369" s="7">
        <v>0.21</v>
      </c>
    </row>
    <row r="370" spans="1:6" x14ac:dyDescent="0.25">
      <c r="A370" s="4" t="s">
        <v>227</v>
      </c>
      <c r="B370">
        <v>24</v>
      </c>
      <c r="C370" t="s">
        <v>17</v>
      </c>
      <c r="D370">
        <v>172337</v>
      </c>
      <c r="E370" t="s">
        <v>338</v>
      </c>
      <c r="F370" s="7">
        <v>0.21</v>
      </c>
    </row>
    <row r="371" spans="1:6" x14ac:dyDescent="0.25">
      <c r="A371" s="4" t="s">
        <v>381</v>
      </c>
      <c r="B371">
        <v>22</v>
      </c>
      <c r="C371" t="s">
        <v>31</v>
      </c>
      <c r="D371">
        <v>161083</v>
      </c>
      <c r="E371" t="s">
        <v>336</v>
      </c>
      <c r="F371" s="7">
        <v>0.23</v>
      </c>
    </row>
    <row r="372" spans="1:6" x14ac:dyDescent="0.25">
      <c r="A372" s="4" t="s">
        <v>214</v>
      </c>
      <c r="B372">
        <v>20</v>
      </c>
      <c r="C372" t="s">
        <v>62</v>
      </c>
      <c r="D372">
        <v>135018</v>
      </c>
      <c r="E372" t="s">
        <v>330</v>
      </c>
      <c r="F372" s="7">
        <v>0.26</v>
      </c>
    </row>
    <row r="373" spans="1:6" x14ac:dyDescent="0.25">
      <c r="A373" s="4" t="s">
        <v>148</v>
      </c>
      <c r="B373">
        <v>24</v>
      </c>
      <c r="C373" t="s">
        <v>27</v>
      </c>
      <c r="D373">
        <v>161001</v>
      </c>
      <c r="E373" t="s">
        <v>336</v>
      </c>
      <c r="F373" s="7">
        <v>0.23</v>
      </c>
    </row>
    <row r="374" spans="1:6" x14ac:dyDescent="0.25">
      <c r="A374" s="4" t="s">
        <v>29</v>
      </c>
      <c r="B374">
        <v>26</v>
      </c>
      <c r="C374" t="s">
        <v>36</v>
      </c>
      <c r="D374">
        <v>108042</v>
      </c>
      <c r="E374" t="s">
        <v>336</v>
      </c>
      <c r="F374" s="7">
        <v>0.24</v>
      </c>
    </row>
    <row r="375" spans="1:6" x14ac:dyDescent="0.25">
      <c r="A375" s="4" t="s">
        <v>97</v>
      </c>
      <c r="B375">
        <v>21</v>
      </c>
      <c r="C375" t="s">
        <v>25</v>
      </c>
      <c r="D375">
        <v>198827</v>
      </c>
      <c r="E375" t="s">
        <v>336</v>
      </c>
      <c r="F375" s="7">
        <v>0.23</v>
      </c>
    </row>
    <row r="376" spans="1:6" x14ac:dyDescent="0.25">
      <c r="A376" s="4" t="s">
        <v>367</v>
      </c>
      <c r="B376">
        <v>27</v>
      </c>
      <c r="C376" t="s">
        <v>27</v>
      </c>
      <c r="D376">
        <v>160419</v>
      </c>
      <c r="E376" t="s">
        <v>336</v>
      </c>
      <c r="F376" s="7">
        <v>0.23</v>
      </c>
    </row>
    <row r="377" spans="1:6" x14ac:dyDescent="0.25">
      <c r="A377" s="4" t="s">
        <v>400</v>
      </c>
      <c r="B377">
        <v>19</v>
      </c>
      <c r="C377" t="s">
        <v>23</v>
      </c>
      <c r="D377">
        <v>112781</v>
      </c>
      <c r="E377" t="s">
        <v>332</v>
      </c>
      <c r="F377" s="7">
        <v>0.27</v>
      </c>
    </row>
    <row r="378" spans="1:6" x14ac:dyDescent="0.25">
      <c r="A378" s="4" t="s">
        <v>192</v>
      </c>
      <c r="B378">
        <v>29</v>
      </c>
      <c r="C378" t="s">
        <v>33</v>
      </c>
      <c r="D378">
        <v>166791</v>
      </c>
      <c r="E378" t="s">
        <v>330</v>
      </c>
      <c r="F378" s="7">
        <v>0.27</v>
      </c>
    </row>
    <row r="379" spans="1:6" x14ac:dyDescent="0.25">
      <c r="A379" s="4" t="s">
        <v>346</v>
      </c>
      <c r="B379">
        <v>28</v>
      </c>
      <c r="C379" t="s">
        <v>36</v>
      </c>
      <c r="D379">
        <v>133614</v>
      </c>
      <c r="E379" t="s">
        <v>336</v>
      </c>
      <c r="F379" s="7">
        <v>0.24</v>
      </c>
    </row>
    <row r="380" spans="1:6" x14ac:dyDescent="0.25">
      <c r="A380" s="4" t="s">
        <v>340</v>
      </c>
      <c r="B380">
        <v>18</v>
      </c>
      <c r="C380" t="s">
        <v>45</v>
      </c>
      <c r="D380">
        <v>179423</v>
      </c>
      <c r="E380" t="s">
        <v>338</v>
      </c>
      <c r="F380" s="7">
        <v>0.21</v>
      </c>
    </row>
    <row r="381" spans="1:6" x14ac:dyDescent="0.25">
      <c r="A381" s="4" t="s">
        <v>287</v>
      </c>
      <c r="B381">
        <v>21</v>
      </c>
      <c r="C381" t="s">
        <v>19</v>
      </c>
      <c r="D381">
        <v>160141</v>
      </c>
      <c r="E381" t="s">
        <v>333</v>
      </c>
      <c r="F381" s="7">
        <v>0.21</v>
      </c>
    </row>
    <row r="382" spans="1:6" x14ac:dyDescent="0.25">
      <c r="A382" s="4" t="s">
        <v>59</v>
      </c>
      <c r="B382">
        <v>24</v>
      </c>
      <c r="C382" t="s">
        <v>72</v>
      </c>
      <c r="D382">
        <v>150194</v>
      </c>
      <c r="E382" t="s">
        <v>330</v>
      </c>
      <c r="F382" s="7">
        <v>0.26</v>
      </c>
    </row>
    <row r="383" spans="1:6" x14ac:dyDescent="0.25">
      <c r="A383" s="4" t="s">
        <v>294</v>
      </c>
      <c r="B383">
        <v>18</v>
      </c>
      <c r="C383" t="s">
        <v>45</v>
      </c>
      <c r="D383">
        <v>166333</v>
      </c>
      <c r="E383" t="s">
        <v>332</v>
      </c>
      <c r="F383" s="7">
        <v>0.27</v>
      </c>
    </row>
    <row r="384" spans="1:6" x14ac:dyDescent="0.25">
      <c r="A384" s="4" t="s">
        <v>70</v>
      </c>
      <c r="B384">
        <v>21</v>
      </c>
      <c r="C384" t="s">
        <v>50</v>
      </c>
      <c r="D384">
        <v>132269</v>
      </c>
      <c r="E384" t="s">
        <v>332</v>
      </c>
      <c r="F384" s="7">
        <v>0.28000000000000003</v>
      </c>
    </row>
    <row r="385" spans="1:6" x14ac:dyDescent="0.25">
      <c r="A385" s="4" t="s">
        <v>171</v>
      </c>
      <c r="B385">
        <v>30</v>
      </c>
      <c r="C385" t="s">
        <v>31</v>
      </c>
      <c r="D385">
        <v>117211</v>
      </c>
      <c r="E385" t="s">
        <v>332</v>
      </c>
      <c r="F385" s="7">
        <v>0.26</v>
      </c>
    </row>
    <row r="386" spans="1:6" x14ac:dyDescent="0.25">
      <c r="A386" s="4" t="s">
        <v>84</v>
      </c>
      <c r="B386">
        <v>28</v>
      </c>
      <c r="C386" t="s">
        <v>45</v>
      </c>
      <c r="D386">
        <v>170818</v>
      </c>
      <c r="E386" t="s">
        <v>333</v>
      </c>
      <c r="F386" s="7">
        <v>0.22</v>
      </c>
    </row>
    <row r="387" spans="1:6" x14ac:dyDescent="0.25">
      <c r="A387" s="4" t="s">
        <v>97</v>
      </c>
      <c r="B387">
        <v>22</v>
      </c>
      <c r="C387" t="s">
        <v>31</v>
      </c>
      <c r="D387">
        <v>174715</v>
      </c>
      <c r="E387" t="s">
        <v>338</v>
      </c>
      <c r="F387" s="7">
        <v>0.22</v>
      </c>
    </row>
    <row r="388" spans="1:6" x14ac:dyDescent="0.25">
      <c r="A388" s="4" t="s">
        <v>297</v>
      </c>
      <c r="B388">
        <v>30</v>
      </c>
      <c r="C388" t="s">
        <v>19</v>
      </c>
      <c r="D388">
        <v>117115</v>
      </c>
      <c r="E388" t="s">
        <v>332</v>
      </c>
      <c r="F388" s="7">
        <v>0.28000000000000003</v>
      </c>
    </row>
    <row r="389" spans="1:6" x14ac:dyDescent="0.25">
      <c r="A389" s="4" t="s">
        <v>395</v>
      </c>
      <c r="B389">
        <v>20</v>
      </c>
      <c r="C389" t="s">
        <v>72</v>
      </c>
      <c r="D389">
        <v>126576</v>
      </c>
      <c r="E389" t="s">
        <v>330</v>
      </c>
      <c r="F389" s="7">
        <v>0.26</v>
      </c>
    </row>
    <row r="390" spans="1:6" x14ac:dyDescent="0.25">
      <c r="A390" s="4" t="s">
        <v>401</v>
      </c>
      <c r="B390">
        <v>24</v>
      </c>
      <c r="C390" t="s">
        <v>31</v>
      </c>
      <c r="D390">
        <v>173147</v>
      </c>
      <c r="E390" t="s">
        <v>338</v>
      </c>
      <c r="F390" s="7">
        <v>0.23</v>
      </c>
    </row>
    <row r="391" spans="1:6" x14ac:dyDescent="0.25">
      <c r="A391" s="4" t="s">
        <v>383</v>
      </c>
      <c r="B391">
        <v>26</v>
      </c>
      <c r="C391" t="s">
        <v>23</v>
      </c>
      <c r="D391">
        <v>122959</v>
      </c>
      <c r="E391" t="s">
        <v>336</v>
      </c>
      <c r="F391" s="7">
        <v>0.23</v>
      </c>
    </row>
    <row r="392" spans="1:6" x14ac:dyDescent="0.25">
      <c r="A392" s="4" t="s">
        <v>145</v>
      </c>
      <c r="B392">
        <v>30</v>
      </c>
      <c r="C392" t="s">
        <v>27</v>
      </c>
      <c r="D392">
        <v>159949</v>
      </c>
      <c r="E392" t="s">
        <v>338</v>
      </c>
      <c r="F392" s="7">
        <v>0.22</v>
      </c>
    </row>
    <row r="393" spans="1:6" x14ac:dyDescent="0.25">
      <c r="A393" s="4" t="s">
        <v>117</v>
      </c>
      <c r="B393">
        <v>24</v>
      </c>
      <c r="C393" t="s">
        <v>79</v>
      </c>
      <c r="D393">
        <v>156541</v>
      </c>
      <c r="E393" t="s">
        <v>333</v>
      </c>
      <c r="F393" s="7">
        <v>0.22</v>
      </c>
    </row>
    <row r="394" spans="1:6" x14ac:dyDescent="0.25">
      <c r="A394" s="4" t="s">
        <v>174</v>
      </c>
      <c r="B394">
        <v>24</v>
      </c>
      <c r="C394" t="s">
        <v>23</v>
      </c>
      <c r="D394">
        <v>144434</v>
      </c>
      <c r="E394" t="s">
        <v>330</v>
      </c>
      <c r="F394" s="7">
        <v>0.25</v>
      </c>
    </row>
    <row r="395" spans="1:6" x14ac:dyDescent="0.25">
      <c r="A395" s="4" t="s">
        <v>402</v>
      </c>
      <c r="B395">
        <v>19</v>
      </c>
      <c r="C395" t="s">
        <v>25</v>
      </c>
      <c r="D395">
        <v>117767</v>
      </c>
      <c r="E395" t="s">
        <v>333</v>
      </c>
      <c r="F395" s="7">
        <v>0.22</v>
      </c>
    </row>
    <row r="396" spans="1:6" x14ac:dyDescent="0.25">
      <c r="A396" s="4" t="s">
        <v>403</v>
      </c>
      <c r="B396">
        <v>30</v>
      </c>
      <c r="C396" t="s">
        <v>21</v>
      </c>
      <c r="D396">
        <v>106656</v>
      </c>
      <c r="E396" t="s">
        <v>333</v>
      </c>
      <c r="F396" s="7">
        <v>0.23</v>
      </c>
    </row>
    <row r="397" spans="1:6" x14ac:dyDescent="0.25">
      <c r="A397" s="4" t="s">
        <v>404</v>
      </c>
      <c r="B397">
        <v>22</v>
      </c>
      <c r="C397" t="s">
        <v>72</v>
      </c>
      <c r="D397">
        <v>105178</v>
      </c>
      <c r="E397" t="s">
        <v>330</v>
      </c>
      <c r="F397" s="7">
        <v>0.28000000000000003</v>
      </c>
    </row>
    <row r="398" spans="1:6" x14ac:dyDescent="0.25">
      <c r="A398" s="4" t="s">
        <v>212</v>
      </c>
      <c r="B398">
        <v>20</v>
      </c>
      <c r="C398" t="s">
        <v>31</v>
      </c>
      <c r="D398">
        <v>114164</v>
      </c>
      <c r="E398" t="s">
        <v>338</v>
      </c>
      <c r="F398" s="7">
        <v>0.22</v>
      </c>
    </row>
    <row r="399" spans="1:6" x14ac:dyDescent="0.25">
      <c r="A399" s="4" t="s">
        <v>218</v>
      </c>
      <c r="B399">
        <v>18</v>
      </c>
      <c r="C399" t="s">
        <v>27</v>
      </c>
      <c r="D399">
        <v>157897</v>
      </c>
      <c r="E399" t="s">
        <v>332</v>
      </c>
      <c r="F399" s="7">
        <v>0.28000000000000003</v>
      </c>
    </row>
    <row r="400" spans="1:6" x14ac:dyDescent="0.25">
      <c r="A400" s="4" t="s">
        <v>151</v>
      </c>
      <c r="B400">
        <v>25</v>
      </c>
      <c r="C400" t="s">
        <v>21</v>
      </c>
      <c r="D400">
        <v>152315</v>
      </c>
      <c r="E400" t="s">
        <v>330</v>
      </c>
      <c r="F400" s="7">
        <v>0.27</v>
      </c>
    </row>
    <row r="401" spans="1:6" x14ac:dyDescent="0.25">
      <c r="A401" s="4" t="s">
        <v>282</v>
      </c>
      <c r="B401">
        <v>25</v>
      </c>
      <c r="C401" t="s">
        <v>23</v>
      </c>
      <c r="D401">
        <v>164331</v>
      </c>
      <c r="E401" t="s">
        <v>336</v>
      </c>
      <c r="F401" s="7">
        <v>0.25</v>
      </c>
    </row>
    <row r="402" spans="1:6" x14ac:dyDescent="0.25">
      <c r="A402" s="4" t="s">
        <v>347</v>
      </c>
      <c r="B402">
        <v>28</v>
      </c>
      <c r="C402" t="s">
        <v>50</v>
      </c>
      <c r="D402">
        <v>126562</v>
      </c>
      <c r="E402" t="s">
        <v>330</v>
      </c>
      <c r="F402" s="7">
        <v>0.25</v>
      </c>
    </row>
    <row r="403" spans="1:6" x14ac:dyDescent="0.25">
      <c r="A403" s="4" t="s">
        <v>171</v>
      </c>
      <c r="B403">
        <v>19</v>
      </c>
      <c r="C403" t="s">
        <v>19</v>
      </c>
      <c r="D403">
        <v>194063</v>
      </c>
      <c r="E403" t="s">
        <v>333</v>
      </c>
      <c r="F403" s="7">
        <v>0.21</v>
      </c>
    </row>
    <row r="404" spans="1:6" x14ac:dyDescent="0.25">
      <c r="A404" s="4" t="s">
        <v>230</v>
      </c>
      <c r="B404">
        <v>23</v>
      </c>
      <c r="C404" t="s">
        <v>31</v>
      </c>
      <c r="D404">
        <v>162668</v>
      </c>
      <c r="E404" t="s">
        <v>332</v>
      </c>
      <c r="F404" s="7">
        <v>0.27</v>
      </c>
    </row>
    <row r="405" spans="1:6" x14ac:dyDescent="0.25">
      <c r="A405" s="4" t="s">
        <v>59</v>
      </c>
      <c r="B405">
        <v>30</v>
      </c>
      <c r="C405" t="s">
        <v>27</v>
      </c>
      <c r="D405">
        <v>101693</v>
      </c>
      <c r="E405" t="s">
        <v>330</v>
      </c>
      <c r="F405" s="7">
        <v>0.28000000000000003</v>
      </c>
    </row>
    <row r="406" spans="1:6" x14ac:dyDescent="0.25">
      <c r="A406" s="4" t="s">
        <v>245</v>
      </c>
      <c r="B406">
        <v>22</v>
      </c>
      <c r="C406" t="s">
        <v>45</v>
      </c>
      <c r="D406">
        <v>154365</v>
      </c>
      <c r="E406" t="s">
        <v>338</v>
      </c>
      <c r="F406" s="7">
        <v>0.23</v>
      </c>
    </row>
    <row r="407" spans="1:6" x14ac:dyDescent="0.25">
      <c r="A407" s="4" t="s">
        <v>262</v>
      </c>
      <c r="B407">
        <v>24</v>
      </c>
      <c r="C407" t="s">
        <v>72</v>
      </c>
      <c r="D407">
        <v>153973</v>
      </c>
      <c r="E407" t="s">
        <v>330</v>
      </c>
      <c r="F407" s="7">
        <v>0.27</v>
      </c>
    </row>
    <row r="408" spans="1:6" x14ac:dyDescent="0.25">
      <c r="A408" s="4" t="s">
        <v>339</v>
      </c>
      <c r="B408">
        <v>21</v>
      </c>
      <c r="C408" t="s">
        <v>15</v>
      </c>
      <c r="D408">
        <v>160780</v>
      </c>
      <c r="E408" t="s">
        <v>330</v>
      </c>
      <c r="F408" s="7">
        <v>0.25</v>
      </c>
    </row>
    <row r="409" spans="1:6" x14ac:dyDescent="0.25">
      <c r="A409" s="4" t="s">
        <v>384</v>
      </c>
      <c r="B409">
        <v>26</v>
      </c>
      <c r="C409" t="s">
        <v>50</v>
      </c>
      <c r="D409">
        <v>151204</v>
      </c>
      <c r="E409" t="s">
        <v>336</v>
      </c>
      <c r="F409" s="7">
        <v>0.23</v>
      </c>
    </row>
    <row r="410" spans="1:6" x14ac:dyDescent="0.25">
      <c r="A410" s="4" t="s">
        <v>159</v>
      </c>
      <c r="B410">
        <v>18</v>
      </c>
      <c r="C410" t="s">
        <v>72</v>
      </c>
      <c r="D410">
        <v>162953</v>
      </c>
      <c r="E410" t="s">
        <v>330</v>
      </c>
      <c r="F410" s="7">
        <v>0.28000000000000003</v>
      </c>
    </row>
    <row r="411" spans="1:6" x14ac:dyDescent="0.25">
      <c r="A411" s="4" t="s">
        <v>194</v>
      </c>
      <c r="B411">
        <v>20</v>
      </c>
      <c r="C411" t="s">
        <v>25</v>
      </c>
      <c r="D411">
        <v>132633</v>
      </c>
      <c r="E411" t="s">
        <v>333</v>
      </c>
      <c r="F411" s="7">
        <v>0.23</v>
      </c>
    </row>
    <row r="412" spans="1:6" x14ac:dyDescent="0.25">
      <c r="A412" s="4" t="s">
        <v>153</v>
      </c>
      <c r="B412">
        <v>30</v>
      </c>
      <c r="C412" t="s">
        <v>45</v>
      </c>
      <c r="D412">
        <v>117168</v>
      </c>
      <c r="E412" t="s">
        <v>336</v>
      </c>
      <c r="F412" s="7">
        <v>0.23</v>
      </c>
    </row>
    <row r="413" spans="1:6" x14ac:dyDescent="0.25">
      <c r="A413" s="4" t="s">
        <v>361</v>
      </c>
      <c r="B413">
        <v>19</v>
      </c>
      <c r="C413" t="s">
        <v>17</v>
      </c>
      <c r="D413">
        <v>145174</v>
      </c>
      <c r="E413" t="s">
        <v>336</v>
      </c>
      <c r="F413" s="7">
        <v>0.25</v>
      </c>
    </row>
    <row r="414" spans="1:6" x14ac:dyDescent="0.25">
      <c r="A414" s="4" t="s">
        <v>115</v>
      </c>
      <c r="B414">
        <v>18</v>
      </c>
      <c r="C414" t="s">
        <v>50</v>
      </c>
      <c r="D414">
        <v>190279</v>
      </c>
      <c r="E414" t="s">
        <v>333</v>
      </c>
      <c r="F414" s="7">
        <v>0.22</v>
      </c>
    </row>
    <row r="415" spans="1:6" x14ac:dyDescent="0.25">
      <c r="A415" s="4" t="s">
        <v>251</v>
      </c>
      <c r="B415">
        <v>29</v>
      </c>
      <c r="C415" t="s">
        <v>72</v>
      </c>
      <c r="D415">
        <v>129337</v>
      </c>
      <c r="E415" t="s">
        <v>333</v>
      </c>
      <c r="F415" s="7">
        <v>0.23</v>
      </c>
    </row>
    <row r="416" spans="1:6" x14ac:dyDescent="0.25">
      <c r="A416" s="4" t="s">
        <v>117</v>
      </c>
      <c r="B416">
        <v>30</v>
      </c>
      <c r="C416" t="s">
        <v>50</v>
      </c>
      <c r="D416">
        <v>174615</v>
      </c>
      <c r="E416" t="s">
        <v>330</v>
      </c>
      <c r="F416" s="7">
        <v>0.26</v>
      </c>
    </row>
    <row r="417" spans="1:6" x14ac:dyDescent="0.25">
      <c r="A417" s="4" t="s">
        <v>181</v>
      </c>
      <c r="B417">
        <v>27</v>
      </c>
      <c r="C417" t="s">
        <v>27</v>
      </c>
      <c r="D417">
        <v>146882</v>
      </c>
      <c r="E417" t="s">
        <v>333</v>
      </c>
      <c r="F417" s="7">
        <v>0.23</v>
      </c>
    </row>
    <row r="418" spans="1:6" x14ac:dyDescent="0.25">
      <c r="A418" s="4" t="s">
        <v>245</v>
      </c>
      <c r="B418">
        <v>28</v>
      </c>
      <c r="C418" t="s">
        <v>62</v>
      </c>
      <c r="D418">
        <v>125878</v>
      </c>
      <c r="E418" t="s">
        <v>336</v>
      </c>
      <c r="F418" s="7">
        <v>0.24</v>
      </c>
    </row>
    <row r="419" spans="1:6" x14ac:dyDescent="0.25">
      <c r="A419" s="4" t="s">
        <v>303</v>
      </c>
      <c r="B419">
        <v>26</v>
      </c>
      <c r="C419" t="s">
        <v>45</v>
      </c>
      <c r="D419">
        <v>139404</v>
      </c>
      <c r="E419" t="s">
        <v>333</v>
      </c>
      <c r="F419" s="7">
        <v>0.22</v>
      </c>
    </row>
    <row r="420" spans="1:6" x14ac:dyDescent="0.25">
      <c r="A420" s="4" t="s">
        <v>125</v>
      </c>
      <c r="B420">
        <v>25</v>
      </c>
      <c r="C420" t="s">
        <v>15</v>
      </c>
      <c r="D420">
        <v>120356</v>
      </c>
      <c r="E420" t="s">
        <v>333</v>
      </c>
      <c r="F420" s="7">
        <v>0.22</v>
      </c>
    </row>
    <row r="421" spans="1:6" x14ac:dyDescent="0.25">
      <c r="A421" s="4" t="s">
        <v>405</v>
      </c>
      <c r="B421">
        <v>28</v>
      </c>
      <c r="C421" t="s">
        <v>31</v>
      </c>
      <c r="D421">
        <v>151785</v>
      </c>
      <c r="E421" t="s">
        <v>333</v>
      </c>
      <c r="F421" s="7">
        <v>0.21</v>
      </c>
    </row>
    <row r="422" spans="1:6" x14ac:dyDescent="0.25">
      <c r="A422" s="4" t="s">
        <v>92</v>
      </c>
      <c r="B422">
        <v>30</v>
      </c>
      <c r="C422" t="s">
        <v>62</v>
      </c>
      <c r="D422">
        <v>111623</v>
      </c>
      <c r="E422" t="s">
        <v>332</v>
      </c>
      <c r="F422" s="7">
        <v>0.25</v>
      </c>
    </row>
    <row r="423" spans="1:6" x14ac:dyDescent="0.25">
      <c r="A423" s="4" t="s">
        <v>176</v>
      </c>
      <c r="B423">
        <v>22</v>
      </c>
      <c r="C423" t="s">
        <v>72</v>
      </c>
      <c r="D423">
        <v>159482</v>
      </c>
      <c r="E423" t="s">
        <v>333</v>
      </c>
      <c r="F423" s="7">
        <v>0.23</v>
      </c>
    </row>
    <row r="424" spans="1:6" x14ac:dyDescent="0.25">
      <c r="A424" s="4" t="s">
        <v>250</v>
      </c>
      <c r="B424">
        <v>21</v>
      </c>
      <c r="C424" t="s">
        <v>36</v>
      </c>
      <c r="D424">
        <v>111987</v>
      </c>
      <c r="E424" t="s">
        <v>332</v>
      </c>
      <c r="F424" s="7">
        <v>0.26</v>
      </c>
    </row>
    <row r="425" spans="1:6" x14ac:dyDescent="0.25">
      <c r="A425" s="4" t="s">
        <v>37</v>
      </c>
      <c r="B425">
        <v>19</v>
      </c>
      <c r="C425" t="s">
        <v>27</v>
      </c>
      <c r="D425">
        <v>137224</v>
      </c>
      <c r="E425" t="s">
        <v>333</v>
      </c>
      <c r="F425" s="7">
        <v>0.21</v>
      </c>
    </row>
    <row r="426" spans="1:6" x14ac:dyDescent="0.25">
      <c r="A426" s="4" t="s">
        <v>379</v>
      </c>
      <c r="B426">
        <v>23</v>
      </c>
      <c r="C426" t="s">
        <v>23</v>
      </c>
      <c r="D426">
        <v>131087</v>
      </c>
      <c r="E426" t="s">
        <v>332</v>
      </c>
      <c r="F426" s="7">
        <v>0.26</v>
      </c>
    </row>
    <row r="427" spans="1:6" x14ac:dyDescent="0.25">
      <c r="A427" s="4" t="s">
        <v>208</v>
      </c>
      <c r="B427">
        <v>22</v>
      </c>
      <c r="C427" t="s">
        <v>27</v>
      </c>
      <c r="D427">
        <v>160175</v>
      </c>
      <c r="E427" t="s">
        <v>330</v>
      </c>
      <c r="F427" s="7">
        <v>0.26</v>
      </c>
    </row>
    <row r="428" spans="1:6" x14ac:dyDescent="0.25">
      <c r="A428" s="4" t="s">
        <v>60</v>
      </c>
      <c r="B428">
        <v>19</v>
      </c>
      <c r="C428" t="s">
        <v>62</v>
      </c>
      <c r="D428">
        <v>120198</v>
      </c>
      <c r="E428" t="s">
        <v>336</v>
      </c>
      <c r="F428" s="7">
        <v>0.23</v>
      </c>
    </row>
    <row r="429" spans="1:6" x14ac:dyDescent="0.25">
      <c r="A429" s="4" t="s">
        <v>241</v>
      </c>
      <c r="B429">
        <v>24</v>
      </c>
      <c r="C429" t="s">
        <v>36</v>
      </c>
      <c r="D429">
        <v>145284</v>
      </c>
      <c r="E429" t="s">
        <v>333</v>
      </c>
      <c r="F429" s="7">
        <v>0.23</v>
      </c>
    </row>
    <row r="430" spans="1:6" x14ac:dyDescent="0.25">
      <c r="A430" s="4" t="s">
        <v>94</v>
      </c>
      <c r="B430">
        <v>29</v>
      </c>
      <c r="C430" t="s">
        <v>19</v>
      </c>
      <c r="D430">
        <v>139328</v>
      </c>
      <c r="E430" t="s">
        <v>333</v>
      </c>
      <c r="F430" s="7">
        <v>0.23</v>
      </c>
    </row>
    <row r="431" spans="1:6" x14ac:dyDescent="0.25">
      <c r="A431" s="4" t="s">
        <v>406</v>
      </c>
      <c r="B431">
        <v>26</v>
      </c>
      <c r="C431" t="s">
        <v>45</v>
      </c>
      <c r="D431">
        <v>194383</v>
      </c>
      <c r="E431" t="s">
        <v>333</v>
      </c>
      <c r="F431" s="7">
        <v>0.21</v>
      </c>
    </row>
    <row r="432" spans="1:6" x14ac:dyDescent="0.25">
      <c r="A432" s="4" t="s">
        <v>176</v>
      </c>
      <c r="B432">
        <v>28</v>
      </c>
      <c r="C432" t="s">
        <v>19</v>
      </c>
      <c r="D432">
        <v>147755</v>
      </c>
      <c r="E432" t="s">
        <v>330</v>
      </c>
      <c r="F432" s="7">
        <v>0.28000000000000003</v>
      </c>
    </row>
    <row r="433" spans="1:6" x14ac:dyDescent="0.25">
      <c r="A433" s="4" t="s">
        <v>102</v>
      </c>
      <c r="B433">
        <v>27</v>
      </c>
      <c r="C433" t="s">
        <v>15</v>
      </c>
      <c r="D433">
        <v>185484</v>
      </c>
      <c r="E433" t="s">
        <v>333</v>
      </c>
      <c r="F433" s="7">
        <v>0.22</v>
      </c>
    </row>
    <row r="434" spans="1:6" x14ac:dyDescent="0.25">
      <c r="A434" s="4" t="s">
        <v>301</v>
      </c>
      <c r="B434">
        <v>21</v>
      </c>
      <c r="C434" t="s">
        <v>23</v>
      </c>
      <c r="D434">
        <v>152759</v>
      </c>
      <c r="E434" t="s">
        <v>330</v>
      </c>
      <c r="F434" s="7">
        <v>0.26</v>
      </c>
    </row>
    <row r="435" spans="1:6" x14ac:dyDescent="0.25">
      <c r="A435" s="4" t="s">
        <v>351</v>
      </c>
      <c r="B435">
        <v>23</v>
      </c>
      <c r="C435" t="s">
        <v>62</v>
      </c>
      <c r="D435">
        <v>166033</v>
      </c>
      <c r="E435" t="s">
        <v>333</v>
      </c>
      <c r="F435" s="7">
        <v>0.21</v>
      </c>
    </row>
    <row r="436" spans="1:6" x14ac:dyDescent="0.25">
      <c r="A436" s="4" t="s">
        <v>310</v>
      </c>
      <c r="B436">
        <v>19</v>
      </c>
      <c r="C436" t="s">
        <v>17</v>
      </c>
      <c r="D436">
        <v>161177</v>
      </c>
      <c r="E436" t="s">
        <v>333</v>
      </c>
      <c r="F436" s="7">
        <v>0.22</v>
      </c>
    </row>
    <row r="437" spans="1:6" x14ac:dyDescent="0.25">
      <c r="A437" s="4" t="s">
        <v>198</v>
      </c>
      <c r="B437">
        <v>21</v>
      </c>
      <c r="C437" t="s">
        <v>79</v>
      </c>
      <c r="D437">
        <v>176431</v>
      </c>
      <c r="E437" t="s">
        <v>332</v>
      </c>
      <c r="F437" s="7">
        <v>0.28000000000000003</v>
      </c>
    </row>
    <row r="438" spans="1:6" x14ac:dyDescent="0.25">
      <c r="A438" s="4" t="s">
        <v>264</v>
      </c>
      <c r="B438">
        <v>23</v>
      </c>
      <c r="C438" t="s">
        <v>15</v>
      </c>
      <c r="D438">
        <v>167384</v>
      </c>
      <c r="E438" t="s">
        <v>332</v>
      </c>
      <c r="F438" s="7">
        <v>0.26</v>
      </c>
    </row>
    <row r="439" spans="1:6" x14ac:dyDescent="0.25">
      <c r="A439" s="4" t="s">
        <v>248</v>
      </c>
      <c r="B439">
        <v>27</v>
      </c>
      <c r="C439" t="s">
        <v>15</v>
      </c>
      <c r="D439">
        <v>125958</v>
      </c>
      <c r="E439" t="s">
        <v>332</v>
      </c>
      <c r="F439" s="7">
        <v>0.25</v>
      </c>
    </row>
    <row r="440" spans="1:6" x14ac:dyDescent="0.25">
      <c r="A440" s="4" t="s">
        <v>298</v>
      </c>
      <c r="B440">
        <v>23</v>
      </c>
      <c r="C440" t="s">
        <v>15</v>
      </c>
      <c r="D440">
        <v>178405</v>
      </c>
      <c r="E440" t="s">
        <v>330</v>
      </c>
      <c r="F440" s="7">
        <v>0.26</v>
      </c>
    </row>
    <row r="441" spans="1:6" x14ac:dyDescent="0.25">
      <c r="A441" s="4" t="s">
        <v>14</v>
      </c>
      <c r="B441">
        <v>29</v>
      </c>
      <c r="C441" t="s">
        <v>17</v>
      </c>
      <c r="D441">
        <v>135879</v>
      </c>
      <c r="E441" t="s">
        <v>336</v>
      </c>
      <c r="F441" s="7">
        <v>0.25</v>
      </c>
    </row>
    <row r="442" spans="1:6" x14ac:dyDescent="0.25">
      <c r="A442" s="4" t="s">
        <v>407</v>
      </c>
      <c r="B442">
        <v>29</v>
      </c>
      <c r="C442" t="s">
        <v>25</v>
      </c>
      <c r="D442">
        <v>129229</v>
      </c>
      <c r="E442" t="s">
        <v>333</v>
      </c>
      <c r="F442" s="7">
        <v>0.23</v>
      </c>
    </row>
    <row r="443" spans="1:6" x14ac:dyDescent="0.25">
      <c r="A443" s="4" t="s">
        <v>339</v>
      </c>
      <c r="B443">
        <v>29</v>
      </c>
      <c r="C443" t="s">
        <v>25</v>
      </c>
      <c r="D443">
        <v>148827</v>
      </c>
      <c r="E443" t="s">
        <v>338</v>
      </c>
      <c r="F443" s="7">
        <v>0.23</v>
      </c>
    </row>
    <row r="444" spans="1:6" x14ac:dyDescent="0.25">
      <c r="A444" s="4" t="s">
        <v>244</v>
      </c>
      <c r="B444">
        <v>23</v>
      </c>
      <c r="C444" t="s">
        <v>33</v>
      </c>
      <c r="D444">
        <v>104270</v>
      </c>
      <c r="E444" t="s">
        <v>332</v>
      </c>
      <c r="F444" s="7">
        <v>0.26</v>
      </c>
    </row>
    <row r="445" spans="1:6" x14ac:dyDescent="0.25">
      <c r="A445" s="4" t="s">
        <v>219</v>
      </c>
      <c r="B445">
        <v>21</v>
      </c>
      <c r="C445" t="s">
        <v>50</v>
      </c>
      <c r="D445">
        <v>164744</v>
      </c>
      <c r="E445" t="s">
        <v>333</v>
      </c>
      <c r="F445" s="7">
        <v>0.21</v>
      </c>
    </row>
    <row r="446" spans="1:6" x14ac:dyDescent="0.25">
      <c r="A446" s="4" t="s">
        <v>312</v>
      </c>
      <c r="B446">
        <v>18</v>
      </c>
      <c r="C446" t="s">
        <v>23</v>
      </c>
      <c r="D446">
        <v>114322</v>
      </c>
      <c r="E446" t="s">
        <v>330</v>
      </c>
      <c r="F446" s="7">
        <v>0.27</v>
      </c>
    </row>
    <row r="447" spans="1:6" x14ac:dyDescent="0.25">
      <c r="A447" s="4" t="s">
        <v>152</v>
      </c>
      <c r="B447">
        <v>27</v>
      </c>
      <c r="C447" t="s">
        <v>19</v>
      </c>
      <c r="D447">
        <v>122559</v>
      </c>
      <c r="E447" t="s">
        <v>333</v>
      </c>
      <c r="F447" s="7">
        <v>0.23</v>
      </c>
    </row>
    <row r="448" spans="1:6" x14ac:dyDescent="0.25">
      <c r="A448" s="4" t="s">
        <v>294</v>
      </c>
      <c r="B448">
        <v>20</v>
      </c>
      <c r="C448" t="s">
        <v>25</v>
      </c>
      <c r="D448">
        <v>122391</v>
      </c>
      <c r="E448" t="s">
        <v>333</v>
      </c>
      <c r="F448" s="7">
        <v>0.21</v>
      </c>
    </row>
    <row r="449" spans="1:6" x14ac:dyDescent="0.25">
      <c r="A449" s="4" t="s">
        <v>408</v>
      </c>
      <c r="B449">
        <v>30</v>
      </c>
      <c r="C449" t="s">
        <v>23</v>
      </c>
      <c r="D449">
        <v>142574</v>
      </c>
      <c r="E449" t="s">
        <v>338</v>
      </c>
      <c r="F449" s="7">
        <v>0.21</v>
      </c>
    </row>
    <row r="450" spans="1:6" x14ac:dyDescent="0.25">
      <c r="A450" s="4" t="s">
        <v>409</v>
      </c>
      <c r="B450">
        <v>23</v>
      </c>
      <c r="C450" t="s">
        <v>36</v>
      </c>
      <c r="D450">
        <v>141590</v>
      </c>
      <c r="E450" t="s">
        <v>330</v>
      </c>
      <c r="F450" s="7">
        <v>0.28000000000000003</v>
      </c>
    </row>
    <row r="451" spans="1:6" x14ac:dyDescent="0.25">
      <c r="A451" s="4" t="s">
        <v>63</v>
      </c>
      <c r="B451">
        <v>24</v>
      </c>
      <c r="C451" t="s">
        <v>31</v>
      </c>
      <c r="D451">
        <v>196612</v>
      </c>
      <c r="E451" t="s">
        <v>336</v>
      </c>
      <c r="F451" s="7">
        <v>0.23</v>
      </c>
    </row>
    <row r="452" spans="1:6" x14ac:dyDescent="0.25">
      <c r="A452" s="4" t="s">
        <v>96</v>
      </c>
      <c r="B452">
        <v>22</v>
      </c>
      <c r="C452" t="s">
        <v>25</v>
      </c>
      <c r="D452">
        <v>184471</v>
      </c>
      <c r="E452" t="s">
        <v>330</v>
      </c>
      <c r="F452" s="7">
        <v>0.25</v>
      </c>
    </row>
    <row r="453" spans="1:6" x14ac:dyDescent="0.25">
      <c r="A453" s="4" t="s">
        <v>348</v>
      </c>
      <c r="B453">
        <v>30</v>
      </c>
      <c r="C453" t="s">
        <v>25</v>
      </c>
      <c r="D453">
        <v>135155</v>
      </c>
      <c r="E453" t="s">
        <v>332</v>
      </c>
      <c r="F453" s="7">
        <v>0.27</v>
      </c>
    </row>
    <row r="454" spans="1:6" x14ac:dyDescent="0.25">
      <c r="A454" s="4" t="s">
        <v>302</v>
      </c>
      <c r="B454">
        <v>27</v>
      </c>
      <c r="C454" t="s">
        <v>19</v>
      </c>
      <c r="D454">
        <v>150864</v>
      </c>
      <c r="E454" t="s">
        <v>330</v>
      </c>
      <c r="F454" s="7">
        <v>0.26</v>
      </c>
    </row>
    <row r="455" spans="1:6" x14ac:dyDescent="0.25">
      <c r="A455" s="4" t="s">
        <v>193</v>
      </c>
      <c r="B455">
        <v>22</v>
      </c>
      <c r="C455" t="s">
        <v>31</v>
      </c>
      <c r="D455">
        <v>149667</v>
      </c>
      <c r="E455" t="s">
        <v>333</v>
      </c>
      <c r="F455" s="7">
        <v>0.22</v>
      </c>
    </row>
    <row r="456" spans="1:6" x14ac:dyDescent="0.25">
      <c r="A456" s="4" t="s">
        <v>274</v>
      </c>
      <c r="B456">
        <v>22</v>
      </c>
      <c r="C456" t="s">
        <v>31</v>
      </c>
      <c r="D456">
        <v>196775</v>
      </c>
      <c r="E456" t="s">
        <v>330</v>
      </c>
      <c r="F456" s="7">
        <v>0.25</v>
      </c>
    </row>
    <row r="457" spans="1:6" x14ac:dyDescent="0.25">
      <c r="A457" s="4" t="s">
        <v>228</v>
      </c>
      <c r="B457">
        <v>23</v>
      </c>
      <c r="C457" t="s">
        <v>36</v>
      </c>
      <c r="D457">
        <v>136541</v>
      </c>
      <c r="E457" t="s">
        <v>330</v>
      </c>
      <c r="F457" s="7">
        <v>0.28000000000000003</v>
      </c>
    </row>
    <row r="458" spans="1:6" x14ac:dyDescent="0.25">
      <c r="A458" s="4" t="s">
        <v>74</v>
      </c>
      <c r="B458">
        <v>27</v>
      </c>
      <c r="C458" t="s">
        <v>33</v>
      </c>
      <c r="D458">
        <v>192149</v>
      </c>
      <c r="E458" t="s">
        <v>338</v>
      </c>
      <c r="F458" s="7">
        <v>0.23</v>
      </c>
    </row>
    <row r="459" spans="1:6" x14ac:dyDescent="0.25">
      <c r="A459" s="4" t="s">
        <v>225</v>
      </c>
      <c r="B459">
        <v>20</v>
      </c>
      <c r="C459" t="s">
        <v>21</v>
      </c>
      <c r="D459">
        <v>153755</v>
      </c>
      <c r="E459" t="s">
        <v>332</v>
      </c>
      <c r="F459" s="7">
        <v>0.28000000000000003</v>
      </c>
    </row>
    <row r="460" spans="1:6" x14ac:dyDescent="0.25">
      <c r="A460" s="4" t="s">
        <v>132</v>
      </c>
      <c r="B460">
        <v>21</v>
      </c>
      <c r="C460" t="s">
        <v>27</v>
      </c>
      <c r="D460">
        <v>181681</v>
      </c>
      <c r="E460" t="s">
        <v>330</v>
      </c>
      <c r="F460" s="7">
        <v>0.27</v>
      </c>
    </row>
    <row r="461" spans="1:6" x14ac:dyDescent="0.25">
      <c r="A461" s="4" t="s">
        <v>392</v>
      </c>
      <c r="B461">
        <v>26</v>
      </c>
      <c r="C461" t="s">
        <v>19</v>
      </c>
      <c r="D461">
        <v>111343</v>
      </c>
      <c r="E461" t="s">
        <v>336</v>
      </c>
      <c r="F461" s="7">
        <v>0.24</v>
      </c>
    </row>
    <row r="462" spans="1:6" x14ac:dyDescent="0.25">
      <c r="A462" s="4" t="s">
        <v>48</v>
      </c>
      <c r="B462">
        <v>29</v>
      </c>
      <c r="C462" t="s">
        <v>50</v>
      </c>
      <c r="D462">
        <v>187854</v>
      </c>
      <c r="E462" t="s">
        <v>332</v>
      </c>
      <c r="F462" s="7">
        <v>0.27</v>
      </c>
    </row>
    <row r="463" spans="1:6" x14ac:dyDescent="0.25">
      <c r="A463" s="4" t="s">
        <v>356</v>
      </c>
      <c r="B463">
        <v>22</v>
      </c>
      <c r="C463" t="s">
        <v>27</v>
      </c>
      <c r="D463">
        <v>122467</v>
      </c>
      <c r="E463" t="s">
        <v>336</v>
      </c>
      <c r="F463" s="7">
        <v>0.23</v>
      </c>
    </row>
    <row r="464" spans="1:6" x14ac:dyDescent="0.25">
      <c r="A464" s="4" t="s">
        <v>248</v>
      </c>
      <c r="B464">
        <v>18</v>
      </c>
      <c r="C464" t="s">
        <v>21</v>
      </c>
      <c r="D464">
        <v>147397</v>
      </c>
      <c r="E464" t="s">
        <v>336</v>
      </c>
      <c r="F464" s="7">
        <v>0.24</v>
      </c>
    </row>
    <row r="465" spans="1:6" x14ac:dyDescent="0.25">
      <c r="A465" s="4" t="s">
        <v>365</v>
      </c>
      <c r="B465">
        <v>21</v>
      </c>
      <c r="C465" t="s">
        <v>21</v>
      </c>
      <c r="D465">
        <v>143563</v>
      </c>
      <c r="E465" t="s">
        <v>333</v>
      </c>
      <c r="F465" s="7">
        <v>0.22</v>
      </c>
    </row>
    <row r="466" spans="1:6" x14ac:dyDescent="0.25">
      <c r="A466" s="4" t="s">
        <v>136</v>
      </c>
      <c r="B466">
        <v>23</v>
      </c>
      <c r="C466" t="s">
        <v>50</v>
      </c>
      <c r="D466">
        <v>143307</v>
      </c>
      <c r="E466" t="s">
        <v>336</v>
      </c>
      <c r="F466" s="7">
        <v>0.25</v>
      </c>
    </row>
    <row r="467" spans="1:6" x14ac:dyDescent="0.25">
      <c r="A467" s="4" t="s">
        <v>92</v>
      </c>
      <c r="B467">
        <v>30</v>
      </c>
      <c r="C467" t="s">
        <v>31</v>
      </c>
      <c r="D467">
        <v>130687</v>
      </c>
      <c r="E467" t="s">
        <v>333</v>
      </c>
      <c r="F467" s="7">
        <v>0.21</v>
      </c>
    </row>
    <row r="468" spans="1:6" x14ac:dyDescent="0.25">
      <c r="A468" s="4" t="s">
        <v>270</v>
      </c>
      <c r="B468">
        <v>21</v>
      </c>
      <c r="C468" t="s">
        <v>17</v>
      </c>
      <c r="D468">
        <v>166255</v>
      </c>
      <c r="E468" t="s">
        <v>330</v>
      </c>
      <c r="F468" s="7">
        <v>0.28000000000000003</v>
      </c>
    </row>
    <row r="469" spans="1:6" x14ac:dyDescent="0.25">
      <c r="A469" s="4" t="s">
        <v>241</v>
      </c>
      <c r="B469">
        <v>27</v>
      </c>
      <c r="C469" t="s">
        <v>27</v>
      </c>
      <c r="D469">
        <v>163132</v>
      </c>
      <c r="E469" t="s">
        <v>336</v>
      </c>
      <c r="F469" s="7">
        <v>0.23</v>
      </c>
    </row>
    <row r="470" spans="1:6" x14ac:dyDescent="0.25">
      <c r="A470" s="4" t="s">
        <v>180</v>
      </c>
      <c r="B470">
        <v>29</v>
      </c>
      <c r="C470" t="s">
        <v>50</v>
      </c>
      <c r="D470">
        <v>120815</v>
      </c>
      <c r="E470" t="s">
        <v>330</v>
      </c>
      <c r="F470" s="7">
        <v>0.26</v>
      </c>
    </row>
    <row r="471" spans="1:6" x14ac:dyDescent="0.25">
      <c r="A471" s="4" t="s">
        <v>276</v>
      </c>
      <c r="B471">
        <v>26</v>
      </c>
      <c r="C471" t="s">
        <v>31</v>
      </c>
      <c r="D471">
        <v>185915</v>
      </c>
      <c r="E471" t="s">
        <v>338</v>
      </c>
      <c r="F471" s="7">
        <v>0.22</v>
      </c>
    </row>
    <row r="472" spans="1:6" x14ac:dyDescent="0.25">
      <c r="A472" s="4" t="s">
        <v>347</v>
      </c>
      <c r="B472">
        <v>27</v>
      </c>
      <c r="C472" t="s">
        <v>36</v>
      </c>
      <c r="D472">
        <v>120916</v>
      </c>
      <c r="E472" t="s">
        <v>333</v>
      </c>
      <c r="F472" s="7">
        <v>0.21</v>
      </c>
    </row>
    <row r="473" spans="1:6" x14ac:dyDescent="0.25">
      <c r="A473" s="4" t="s">
        <v>276</v>
      </c>
      <c r="B473">
        <v>19</v>
      </c>
      <c r="C473" t="s">
        <v>27</v>
      </c>
      <c r="D473">
        <v>141982</v>
      </c>
      <c r="E473" t="s">
        <v>333</v>
      </c>
      <c r="F473" s="7">
        <v>0.21</v>
      </c>
    </row>
    <row r="474" spans="1:6" x14ac:dyDescent="0.25">
      <c r="A474" s="4" t="s">
        <v>67</v>
      </c>
      <c r="B474">
        <v>23</v>
      </c>
      <c r="C474" t="s">
        <v>25</v>
      </c>
      <c r="D474">
        <v>123910</v>
      </c>
      <c r="E474" t="s">
        <v>338</v>
      </c>
      <c r="F474" s="7">
        <v>0.23</v>
      </c>
    </row>
    <row r="475" spans="1:6" x14ac:dyDescent="0.25">
      <c r="A475" s="4" t="s">
        <v>341</v>
      </c>
      <c r="B475">
        <v>26</v>
      </c>
      <c r="C475" t="s">
        <v>19</v>
      </c>
      <c r="D475">
        <v>111764</v>
      </c>
      <c r="E475" t="s">
        <v>336</v>
      </c>
      <c r="F475" s="7">
        <v>0.25</v>
      </c>
    </row>
    <row r="476" spans="1:6" x14ac:dyDescent="0.25">
      <c r="A476" s="4" t="s">
        <v>96</v>
      </c>
      <c r="B476">
        <v>22</v>
      </c>
      <c r="C476" t="s">
        <v>45</v>
      </c>
      <c r="D476">
        <v>163228</v>
      </c>
      <c r="E476" t="s">
        <v>330</v>
      </c>
      <c r="F476" s="7">
        <v>0.26</v>
      </c>
    </row>
    <row r="477" spans="1:6" x14ac:dyDescent="0.25">
      <c r="A477" s="4" t="s">
        <v>352</v>
      </c>
      <c r="B477">
        <v>27</v>
      </c>
      <c r="C477" t="s">
        <v>23</v>
      </c>
      <c r="D477">
        <v>130089</v>
      </c>
      <c r="E477" t="s">
        <v>338</v>
      </c>
      <c r="F477" s="7">
        <v>0.23</v>
      </c>
    </row>
    <row r="478" spans="1:6" x14ac:dyDescent="0.25">
      <c r="A478" s="4" t="s">
        <v>300</v>
      </c>
      <c r="B478">
        <v>30</v>
      </c>
      <c r="C478" t="s">
        <v>23</v>
      </c>
      <c r="D478">
        <v>193757</v>
      </c>
      <c r="E478" t="s">
        <v>330</v>
      </c>
      <c r="F478" s="7">
        <v>0.28000000000000003</v>
      </c>
    </row>
    <row r="479" spans="1:6" x14ac:dyDescent="0.25">
      <c r="A479" s="4" t="s">
        <v>160</v>
      </c>
      <c r="B479">
        <v>20</v>
      </c>
      <c r="C479" t="s">
        <v>31</v>
      </c>
      <c r="D479">
        <v>171769</v>
      </c>
      <c r="E479" t="s">
        <v>338</v>
      </c>
      <c r="F479" s="7">
        <v>0.22</v>
      </c>
    </row>
    <row r="480" spans="1:6" x14ac:dyDescent="0.25">
      <c r="A480" s="4" t="s">
        <v>410</v>
      </c>
      <c r="B480">
        <v>24</v>
      </c>
      <c r="C480" t="s">
        <v>31</v>
      </c>
      <c r="D480">
        <v>141806</v>
      </c>
      <c r="E480" t="s">
        <v>333</v>
      </c>
      <c r="F480" s="7">
        <v>0.23</v>
      </c>
    </row>
    <row r="481" spans="1:6" x14ac:dyDescent="0.25">
      <c r="A481" s="4" t="s">
        <v>229</v>
      </c>
      <c r="B481">
        <v>24</v>
      </c>
      <c r="C481" t="s">
        <v>33</v>
      </c>
      <c r="D481">
        <v>169112</v>
      </c>
      <c r="E481" t="s">
        <v>333</v>
      </c>
      <c r="F481" s="7">
        <v>0.22</v>
      </c>
    </row>
    <row r="482" spans="1:6" x14ac:dyDescent="0.25">
      <c r="A482" s="4" t="s">
        <v>127</v>
      </c>
      <c r="B482">
        <v>22</v>
      </c>
      <c r="C482" t="s">
        <v>19</v>
      </c>
      <c r="D482">
        <v>184280</v>
      </c>
      <c r="E482" t="s">
        <v>333</v>
      </c>
      <c r="F482" s="7">
        <v>0.21</v>
      </c>
    </row>
    <row r="483" spans="1:6" x14ac:dyDescent="0.25">
      <c r="A483" s="4" t="s">
        <v>193</v>
      </c>
      <c r="B483">
        <v>27</v>
      </c>
      <c r="C483" t="s">
        <v>79</v>
      </c>
      <c r="D483">
        <v>110409</v>
      </c>
      <c r="E483" t="s">
        <v>332</v>
      </c>
      <c r="F483" s="7">
        <v>0.26</v>
      </c>
    </row>
    <row r="484" spans="1:6" x14ac:dyDescent="0.25">
      <c r="A484" s="4" t="s">
        <v>331</v>
      </c>
      <c r="B484">
        <v>18</v>
      </c>
      <c r="C484" t="s">
        <v>50</v>
      </c>
      <c r="D484">
        <v>155555</v>
      </c>
      <c r="E484" t="s">
        <v>330</v>
      </c>
      <c r="F484" s="7">
        <v>0.26</v>
      </c>
    </row>
    <row r="485" spans="1:6" x14ac:dyDescent="0.25">
      <c r="A485" s="4" t="s">
        <v>113</v>
      </c>
      <c r="B485">
        <v>19</v>
      </c>
      <c r="C485" t="s">
        <v>50</v>
      </c>
      <c r="D485">
        <v>142379</v>
      </c>
      <c r="E485" t="s">
        <v>332</v>
      </c>
      <c r="F485" s="7">
        <v>0.28000000000000003</v>
      </c>
    </row>
    <row r="486" spans="1:6" x14ac:dyDescent="0.25">
      <c r="A486" s="4" t="s">
        <v>301</v>
      </c>
      <c r="B486">
        <v>20</v>
      </c>
      <c r="C486" t="s">
        <v>36</v>
      </c>
      <c r="D486">
        <v>146587</v>
      </c>
      <c r="E486" t="s">
        <v>330</v>
      </c>
      <c r="F486" s="7">
        <v>0.27</v>
      </c>
    </row>
    <row r="487" spans="1:6" x14ac:dyDescent="0.25">
      <c r="A487" s="4" t="s">
        <v>257</v>
      </c>
      <c r="B487">
        <v>18</v>
      </c>
      <c r="C487" t="s">
        <v>36</v>
      </c>
      <c r="D487">
        <v>125904</v>
      </c>
      <c r="E487" t="s">
        <v>338</v>
      </c>
      <c r="F487" s="7">
        <v>0.23</v>
      </c>
    </row>
    <row r="488" spans="1:6" x14ac:dyDescent="0.25">
      <c r="A488" s="4" t="s">
        <v>123</v>
      </c>
      <c r="B488">
        <v>28</v>
      </c>
      <c r="C488" t="s">
        <v>21</v>
      </c>
      <c r="D488">
        <v>103688</v>
      </c>
      <c r="E488" t="s">
        <v>333</v>
      </c>
      <c r="F488" s="7">
        <v>0.21</v>
      </c>
    </row>
    <row r="489" spans="1:6" x14ac:dyDescent="0.25">
      <c r="A489" s="4" t="s">
        <v>411</v>
      </c>
      <c r="B489">
        <v>30</v>
      </c>
      <c r="C489" t="s">
        <v>25</v>
      </c>
      <c r="D489">
        <v>182653</v>
      </c>
      <c r="E489" t="s">
        <v>332</v>
      </c>
      <c r="F489" s="7">
        <v>0.25</v>
      </c>
    </row>
    <row r="490" spans="1:6" x14ac:dyDescent="0.25">
      <c r="A490" s="4" t="s">
        <v>243</v>
      </c>
      <c r="B490">
        <v>25</v>
      </c>
      <c r="C490" t="s">
        <v>72</v>
      </c>
      <c r="D490">
        <v>172376</v>
      </c>
      <c r="E490" t="s">
        <v>333</v>
      </c>
      <c r="F490" s="7">
        <v>0.23</v>
      </c>
    </row>
    <row r="491" spans="1:6" x14ac:dyDescent="0.25">
      <c r="A491" s="4" t="s">
        <v>357</v>
      </c>
      <c r="B491">
        <v>21</v>
      </c>
      <c r="C491" t="s">
        <v>36</v>
      </c>
      <c r="D491">
        <v>158123</v>
      </c>
      <c r="E491" t="s">
        <v>338</v>
      </c>
      <c r="F491" s="7">
        <v>0.22</v>
      </c>
    </row>
    <row r="492" spans="1:6" x14ac:dyDescent="0.25">
      <c r="A492" s="4" t="s">
        <v>194</v>
      </c>
      <c r="B492">
        <v>22</v>
      </c>
      <c r="C492" t="s">
        <v>15</v>
      </c>
      <c r="D492">
        <v>157827</v>
      </c>
      <c r="E492" t="s">
        <v>330</v>
      </c>
      <c r="F492" s="7">
        <v>0.26</v>
      </c>
    </row>
    <row r="493" spans="1:6" x14ac:dyDescent="0.25">
      <c r="A493" s="4" t="s">
        <v>244</v>
      </c>
      <c r="B493">
        <v>29</v>
      </c>
      <c r="C493" t="s">
        <v>33</v>
      </c>
      <c r="D493">
        <v>155173</v>
      </c>
      <c r="E493" t="s">
        <v>338</v>
      </c>
      <c r="F493" s="7">
        <v>0.22</v>
      </c>
    </row>
    <row r="494" spans="1:6" x14ac:dyDescent="0.25">
      <c r="A494" s="4" t="s">
        <v>170</v>
      </c>
      <c r="B494">
        <v>23</v>
      </c>
      <c r="C494" t="s">
        <v>50</v>
      </c>
      <c r="D494">
        <v>116195</v>
      </c>
      <c r="E494" t="s">
        <v>332</v>
      </c>
      <c r="F494" s="7">
        <v>0.26</v>
      </c>
    </row>
    <row r="495" spans="1:6" x14ac:dyDescent="0.25">
      <c r="A495" s="4" t="s">
        <v>14</v>
      </c>
      <c r="B495">
        <v>28</v>
      </c>
      <c r="C495" t="s">
        <v>21</v>
      </c>
      <c r="D495">
        <v>153681</v>
      </c>
      <c r="E495" t="s">
        <v>338</v>
      </c>
      <c r="F495" s="7">
        <v>0.21</v>
      </c>
    </row>
    <row r="496" spans="1:6" x14ac:dyDescent="0.25">
      <c r="A496" s="4" t="s">
        <v>155</v>
      </c>
      <c r="B496">
        <v>20</v>
      </c>
      <c r="C496" t="s">
        <v>23</v>
      </c>
      <c r="D496">
        <v>101062</v>
      </c>
      <c r="E496" t="s">
        <v>336</v>
      </c>
      <c r="F496" s="7">
        <v>0.23</v>
      </c>
    </row>
    <row r="497" spans="1:6" x14ac:dyDescent="0.25">
      <c r="A497" s="4" t="s">
        <v>343</v>
      </c>
      <c r="B497">
        <v>22</v>
      </c>
      <c r="C497" t="s">
        <v>79</v>
      </c>
      <c r="D497">
        <v>113355</v>
      </c>
      <c r="E497" t="s">
        <v>332</v>
      </c>
      <c r="F497" s="7">
        <v>0.28000000000000003</v>
      </c>
    </row>
    <row r="498" spans="1:6" x14ac:dyDescent="0.25">
      <c r="A498" s="4" t="s">
        <v>210</v>
      </c>
      <c r="B498">
        <v>25</v>
      </c>
      <c r="C498" t="s">
        <v>23</v>
      </c>
      <c r="D498">
        <v>185608</v>
      </c>
      <c r="E498" t="s">
        <v>332</v>
      </c>
      <c r="F498" s="7">
        <v>0.28000000000000003</v>
      </c>
    </row>
    <row r="499" spans="1:6" x14ac:dyDescent="0.25">
      <c r="A499" s="4" t="s">
        <v>217</v>
      </c>
      <c r="B499">
        <v>27</v>
      </c>
      <c r="C499" t="s">
        <v>25</v>
      </c>
      <c r="D499">
        <v>161589</v>
      </c>
      <c r="E499" t="s">
        <v>332</v>
      </c>
      <c r="F499" s="7">
        <v>0.27</v>
      </c>
    </row>
    <row r="500" spans="1:6" x14ac:dyDescent="0.25">
      <c r="A500" s="4" t="s">
        <v>412</v>
      </c>
      <c r="B500">
        <v>24</v>
      </c>
      <c r="C500" t="s">
        <v>23</v>
      </c>
      <c r="D500">
        <v>138999</v>
      </c>
      <c r="E500" t="s">
        <v>336</v>
      </c>
      <c r="F500" s="7">
        <v>0.23</v>
      </c>
    </row>
    <row r="501" spans="1:6" x14ac:dyDescent="0.25">
      <c r="A501" s="4" t="s">
        <v>16</v>
      </c>
      <c r="B501">
        <v>19</v>
      </c>
      <c r="C501" t="s">
        <v>36</v>
      </c>
      <c r="D501">
        <v>179846</v>
      </c>
      <c r="E501" t="s">
        <v>333</v>
      </c>
      <c r="F501" s="7">
        <v>0.23</v>
      </c>
    </row>
    <row r="502" spans="1:6" x14ac:dyDescent="0.25">
      <c r="A502" s="4" t="s">
        <v>43</v>
      </c>
      <c r="B502">
        <v>24</v>
      </c>
      <c r="C502" t="s">
        <v>33</v>
      </c>
      <c r="D502">
        <v>196441</v>
      </c>
      <c r="E502" t="s">
        <v>333</v>
      </c>
      <c r="F502" s="7">
        <v>0.21</v>
      </c>
    </row>
    <row r="503" spans="1:6" x14ac:dyDescent="0.25">
      <c r="A503" s="4" t="s">
        <v>144</v>
      </c>
      <c r="B503">
        <v>22</v>
      </c>
      <c r="C503" t="s">
        <v>25</v>
      </c>
      <c r="D503">
        <v>181312</v>
      </c>
      <c r="E503" t="s">
        <v>336</v>
      </c>
      <c r="F503" s="7">
        <v>0.23</v>
      </c>
    </row>
    <row r="504" spans="1:6" x14ac:dyDescent="0.25">
      <c r="A504" s="4" t="s">
        <v>413</v>
      </c>
      <c r="B504">
        <v>24</v>
      </c>
      <c r="C504" t="s">
        <v>25</v>
      </c>
      <c r="D504">
        <v>155222</v>
      </c>
      <c r="E504" t="s">
        <v>330</v>
      </c>
      <c r="F504" s="7">
        <v>0.25</v>
      </c>
    </row>
    <row r="505" spans="1:6" x14ac:dyDescent="0.25">
      <c r="A505" s="4" t="s">
        <v>317</v>
      </c>
      <c r="B505">
        <v>20</v>
      </c>
      <c r="C505" t="s">
        <v>25</v>
      </c>
      <c r="D505">
        <v>157804</v>
      </c>
      <c r="E505" t="s">
        <v>332</v>
      </c>
      <c r="F505" s="7">
        <v>0.25</v>
      </c>
    </row>
    <row r="506" spans="1:6" x14ac:dyDescent="0.25">
      <c r="A506" s="4" t="s">
        <v>37</v>
      </c>
      <c r="B506">
        <v>26</v>
      </c>
      <c r="C506" t="s">
        <v>79</v>
      </c>
      <c r="D506">
        <v>122678</v>
      </c>
      <c r="E506" t="s">
        <v>332</v>
      </c>
      <c r="F506" s="7">
        <v>0.25</v>
      </c>
    </row>
    <row r="507" spans="1:6" x14ac:dyDescent="0.25">
      <c r="A507" s="4" t="s">
        <v>73</v>
      </c>
      <c r="B507">
        <v>21</v>
      </c>
      <c r="C507" t="s">
        <v>36</v>
      </c>
      <c r="D507">
        <v>158747</v>
      </c>
      <c r="E507" t="s">
        <v>338</v>
      </c>
      <c r="F507" s="7">
        <v>0.21</v>
      </c>
    </row>
    <row r="508" spans="1:6" x14ac:dyDescent="0.25">
      <c r="A508" s="4" t="s">
        <v>297</v>
      </c>
      <c r="B508">
        <v>27</v>
      </c>
      <c r="C508" t="s">
        <v>15</v>
      </c>
      <c r="D508">
        <v>171201</v>
      </c>
      <c r="E508" t="s">
        <v>332</v>
      </c>
      <c r="F508" s="7">
        <v>0.25</v>
      </c>
    </row>
    <row r="509" spans="1:6" x14ac:dyDescent="0.25">
      <c r="A509" s="4" t="s">
        <v>87</v>
      </c>
      <c r="B509">
        <v>24</v>
      </c>
      <c r="C509" t="s">
        <v>50</v>
      </c>
      <c r="D509">
        <v>166664</v>
      </c>
      <c r="E509" t="s">
        <v>330</v>
      </c>
      <c r="F509" s="7">
        <v>0.25</v>
      </c>
    </row>
    <row r="510" spans="1:6" x14ac:dyDescent="0.25">
      <c r="A510" s="4" t="s">
        <v>92</v>
      </c>
      <c r="B510">
        <v>21</v>
      </c>
      <c r="C510" t="s">
        <v>23</v>
      </c>
      <c r="D510">
        <v>188123</v>
      </c>
      <c r="E510" t="s">
        <v>333</v>
      </c>
      <c r="F510" s="7">
        <v>0.21</v>
      </c>
    </row>
    <row r="511" spans="1:6" x14ac:dyDescent="0.25">
      <c r="A511" s="4" t="s">
        <v>220</v>
      </c>
      <c r="B511">
        <v>19</v>
      </c>
      <c r="C511" t="s">
        <v>31</v>
      </c>
      <c r="D511">
        <v>174517</v>
      </c>
      <c r="E511" t="s">
        <v>336</v>
      </c>
      <c r="F511" s="7">
        <v>0.24</v>
      </c>
    </row>
    <row r="512" spans="1:6" x14ac:dyDescent="0.25">
      <c r="A512" s="4" t="s">
        <v>232</v>
      </c>
      <c r="B512">
        <v>26</v>
      </c>
      <c r="C512" t="s">
        <v>36</v>
      </c>
      <c r="D512">
        <v>172448</v>
      </c>
      <c r="E512" t="s">
        <v>333</v>
      </c>
      <c r="F512" s="7">
        <v>0.21</v>
      </c>
    </row>
    <row r="513" spans="1:6" x14ac:dyDescent="0.25">
      <c r="A513" s="4" t="s">
        <v>180</v>
      </c>
      <c r="B513">
        <v>30</v>
      </c>
      <c r="C513" t="s">
        <v>17</v>
      </c>
      <c r="D513">
        <v>170401</v>
      </c>
      <c r="E513" t="s">
        <v>330</v>
      </c>
      <c r="F513" s="7">
        <v>0.27</v>
      </c>
    </row>
    <row r="514" spans="1:6" x14ac:dyDescent="0.25">
      <c r="A514" s="4" t="s">
        <v>63</v>
      </c>
      <c r="B514">
        <v>19</v>
      </c>
      <c r="C514" t="s">
        <v>31</v>
      </c>
      <c r="D514">
        <v>136426</v>
      </c>
      <c r="E514" t="s">
        <v>332</v>
      </c>
      <c r="F514" s="7">
        <v>0.26</v>
      </c>
    </row>
    <row r="515" spans="1:6" x14ac:dyDescent="0.25">
      <c r="A515" s="4" t="s">
        <v>302</v>
      </c>
      <c r="B515">
        <v>29</v>
      </c>
      <c r="C515" t="s">
        <v>19</v>
      </c>
      <c r="D515">
        <v>186985</v>
      </c>
      <c r="E515" t="s">
        <v>332</v>
      </c>
      <c r="F515" s="7">
        <v>0.28000000000000003</v>
      </c>
    </row>
    <row r="516" spans="1:6" x14ac:dyDescent="0.25">
      <c r="A516" s="4" t="s">
        <v>46</v>
      </c>
      <c r="B516">
        <v>23</v>
      </c>
      <c r="C516" t="s">
        <v>27</v>
      </c>
      <c r="D516">
        <v>150784</v>
      </c>
      <c r="E516" t="s">
        <v>338</v>
      </c>
      <c r="F516" s="7">
        <v>0.22</v>
      </c>
    </row>
    <row r="517" spans="1:6" x14ac:dyDescent="0.25">
      <c r="A517" s="4" t="s">
        <v>216</v>
      </c>
      <c r="B517">
        <v>26</v>
      </c>
      <c r="C517" t="s">
        <v>15</v>
      </c>
      <c r="D517">
        <v>135933</v>
      </c>
      <c r="E517" t="s">
        <v>330</v>
      </c>
      <c r="F517" s="7">
        <v>0.28000000000000003</v>
      </c>
    </row>
    <row r="518" spans="1:6" x14ac:dyDescent="0.25">
      <c r="A518" s="4" t="s">
        <v>20</v>
      </c>
      <c r="B518">
        <v>27</v>
      </c>
      <c r="C518" t="s">
        <v>72</v>
      </c>
      <c r="D518">
        <v>192862</v>
      </c>
      <c r="E518" t="s">
        <v>330</v>
      </c>
      <c r="F518" s="7">
        <v>0.28000000000000003</v>
      </c>
    </row>
    <row r="519" spans="1:6" x14ac:dyDescent="0.25">
      <c r="A519" s="4" t="s">
        <v>205</v>
      </c>
      <c r="B519">
        <v>21</v>
      </c>
      <c r="C519" t="s">
        <v>17</v>
      </c>
      <c r="D519">
        <v>107637</v>
      </c>
      <c r="E519" t="s">
        <v>330</v>
      </c>
      <c r="F519" s="7">
        <v>0.28000000000000003</v>
      </c>
    </row>
    <row r="520" spans="1:6" x14ac:dyDescent="0.25">
      <c r="A520" s="4" t="s">
        <v>202</v>
      </c>
      <c r="B520">
        <v>30</v>
      </c>
      <c r="C520" t="s">
        <v>21</v>
      </c>
      <c r="D520">
        <v>159973</v>
      </c>
      <c r="E520" t="s">
        <v>333</v>
      </c>
      <c r="F520" s="7">
        <v>0.23</v>
      </c>
    </row>
    <row r="521" spans="1:6" x14ac:dyDescent="0.25">
      <c r="A521" s="4" t="s">
        <v>140</v>
      </c>
      <c r="B521">
        <v>24</v>
      </c>
      <c r="C521" t="s">
        <v>45</v>
      </c>
      <c r="D521">
        <v>104250</v>
      </c>
      <c r="E521" t="s">
        <v>336</v>
      </c>
      <c r="F521" s="7">
        <v>0.23</v>
      </c>
    </row>
    <row r="522" spans="1:6" x14ac:dyDescent="0.25">
      <c r="A522" s="4" t="s">
        <v>78</v>
      </c>
      <c r="B522">
        <v>20</v>
      </c>
      <c r="C522" t="s">
        <v>27</v>
      </c>
      <c r="D522">
        <v>120859</v>
      </c>
      <c r="E522" t="s">
        <v>338</v>
      </c>
      <c r="F522" s="7">
        <v>0.21</v>
      </c>
    </row>
    <row r="523" spans="1:6" x14ac:dyDescent="0.25">
      <c r="A523" s="4" t="s">
        <v>357</v>
      </c>
      <c r="B523">
        <v>18</v>
      </c>
      <c r="C523" t="s">
        <v>15</v>
      </c>
      <c r="D523">
        <v>140434</v>
      </c>
      <c r="E523" t="s">
        <v>333</v>
      </c>
      <c r="F523" s="7">
        <v>0.22</v>
      </c>
    </row>
    <row r="524" spans="1:6" x14ac:dyDescent="0.25">
      <c r="A524" s="4" t="s">
        <v>219</v>
      </c>
      <c r="B524">
        <v>25</v>
      </c>
      <c r="C524" t="s">
        <v>15</v>
      </c>
      <c r="D524">
        <v>199045</v>
      </c>
      <c r="E524" t="s">
        <v>330</v>
      </c>
      <c r="F524" s="7">
        <v>0.25</v>
      </c>
    </row>
    <row r="525" spans="1:6" x14ac:dyDescent="0.25">
      <c r="A525" s="4" t="s">
        <v>180</v>
      </c>
      <c r="B525">
        <v>20</v>
      </c>
      <c r="C525" t="s">
        <v>33</v>
      </c>
      <c r="D525">
        <v>125970</v>
      </c>
      <c r="E525" t="s">
        <v>333</v>
      </c>
      <c r="F525" s="7">
        <v>0.21</v>
      </c>
    </row>
    <row r="526" spans="1:6" x14ac:dyDescent="0.25">
      <c r="A526" s="4" t="s">
        <v>414</v>
      </c>
      <c r="B526">
        <v>27</v>
      </c>
      <c r="C526" t="s">
        <v>36</v>
      </c>
      <c r="D526">
        <v>162839</v>
      </c>
      <c r="E526" t="s">
        <v>332</v>
      </c>
      <c r="F526" s="7">
        <v>0.26</v>
      </c>
    </row>
    <row r="527" spans="1:6" x14ac:dyDescent="0.25">
      <c r="A527" s="4" t="s">
        <v>394</v>
      </c>
      <c r="B527">
        <v>23</v>
      </c>
      <c r="C527" t="s">
        <v>79</v>
      </c>
      <c r="D527">
        <v>196507</v>
      </c>
      <c r="E527" t="s">
        <v>336</v>
      </c>
      <c r="F527" s="7">
        <v>0.23</v>
      </c>
    </row>
    <row r="528" spans="1:6" x14ac:dyDescent="0.25">
      <c r="A528" s="4" t="s">
        <v>100</v>
      </c>
      <c r="B528">
        <v>19</v>
      </c>
      <c r="C528" t="s">
        <v>79</v>
      </c>
      <c r="D528">
        <v>178291</v>
      </c>
      <c r="E528" t="s">
        <v>338</v>
      </c>
      <c r="F528" s="7">
        <v>0.23</v>
      </c>
    </row>
    <row r="529" spans="1:6" x14ac:dyDescent="0.25">
      <c r="A529" s="4" t="s">
        <v>312</v>
      </c>
      <c r="B529">
        <v>19</v>
      </c>
      <c r="C529" t="s">
        <v>50</v>
      </c>
      <c r="D529">
        <v>142471</v>
      </c>
      <c r="E529" t="s">
        <v>333</v>
      </c>
      <c r="F529" s="7">
        <v>0.22</v>
      </c>
    </row>
    <row r="530" spans="1:6" x14ac:dyDescent="0.25">
      <c r="A530" s="4" t="s">
        <v>47</v>
      </c>
      <c r="B530">
        <v>28</v>
      </c>
      <c r="C530" t="s">
        <v>45</v>
      </c>
      <c r="D530">
        <v>189723</v>
      </c>
      <c r="E530" t="s">
        <v>338</v>
      </c>
      <c r="F530" s="7">
        <v>0.23</v>
      </c>
    </row>
    <row r="531" spans="1:6" x14ac:dyDescent="0.25">
      <c r="A531" s="4" t="s">
        <v>388</v>
      </c>
      <c r="B531">
        <v>27</v>
      </c>
      <c r="C531" t="s">
        <v>25</v>
      </c>
      <c r="D531">
        <v>131598</v>
      </c>
      <c r="E531" t="s">
        <v>338</v>
      </c>
      <c r="F531" s="7">
        <v>0.22</v>
      </c>
    </row>
    <row r="532" spans="1:6" x14ac:dyDescent="0.25">
      <c r="A532" s="4" t="s">
        <v>406</v>
      </c>
      <c r="B532">
        <v>28</v>
      </c>
      <c r="C532" t="s">
        <v>45</v>
      </c>
      <c r="D532">
        <v>128391</v>
      </c>
      <c r="E532" t="s">
        <v>336</v>
      </c>
      <c r="F532" s="7">
        <v>0.24</v>
      </c>
    </row>
    <row r="533" spans="1:6" x14ac:dyDescent="0.25">
      <c r="A533" s="4" t="s">
        <v>273</v>
      </c>
      <c r="B533">
        <v>24</v>
      </c>
      <c r="C533" t="s">
        <v>72</v>
      </c>
      <c r="D533">
        <v>198802</v>
      </c>
      <c r="E533" t="s">
        <v>336</v>
      </c>
      <c r="F533" s="7">
        <v>0.24</v>
      </c>
    </row>
    <row r="534" spans="1:6" x14ac:dyDescent="0.25">
      <c r="A534" s="4" t="s">
        <v>375</v>
      </c>
      <c r="B534">
        <v>23</v>
      </c>
      <c r="C534" t="s">
        <v>36</v>
      </c>
      <c r="D534">
        <v>163017</v>
      </c>
      <c r="E534" t="s">
        <v>333</v>
      </c>
      <c r="F534" s="7">
        <v>0.23</v>
      </c>
    </row>
    <row r="535" spans="1:6" x14ac:dyDescent="0.25">
      <c r="A535" s="4" t="s">
        <v>150</v>
      </c>
      <c r="B535">
        <v>29</v>
      </c>
      <c r="C535" t="s">
        <v>31</v>
      </c>
      <c r="D535">
        <v>102850</v>
      </c>
      <c r="E535" t="s">
        <v>338</v>
      </c>
      <c r="F535" s="7">
        <v>0.23</v>
      </c>
    </row>
    <row r="536" spans="1:6" x14ac:dyDescent="0.25">
      <c r="A536" s="4" t="s">
        <v>296</v>
      </c>
      <c r="B536">
        <v>24</v>
      </c>
      <c r="C536" t="s">
        <v>36</v>
      </c>
      <c r="D536">
        <v>151551</v>
      </c>
      <c r="E536" t="s">
        <v>330</v>
      </c>
      <c r="F536" s="7">
        <v>0.26</v>
      </c>
    </row>
    <row r="537" spans="1:6" x14ac:dyDescent="0.25">
      <c r="A537" s="4" t="s">
        <v>225</v>
      </c>
      <c r="B537">
        <v>21</v>
      </c>
      <c r="C537" t="s">
        <v>27</v>
      </c>
      <c r="D537">
        <v>142376</v>
      </c>
      <c r="E537" t="s">
        <v>332</v>
      </c>
      <c r="F537" s="7">
        <v>0.27</v>
      </c>
    </row>
    <row r="538" spans="1:6" x14ac:dyDescent="0.25">
      <c r="A538" s="4" t="s">
        <v>307</v>
      </c>
      <c r="B538">
        <v>18</v>
      </c>
      <c r="C538" t="s">
        <v>23</v>
      </c>
      <c r="D538">
        <v>128046</v>
      </c>
      <c r="E538" t="s">
        <v>333</v>
      </c>
      <c r="F538" s="7">
        <v>0.22</v>
      </c>
    </row>
    <row r="539" spans="1:6" x14ac:dyDescent="0.25">
      <c r="A539" s="4" t="s">
        <v>241</v>
      </c>
      <c r="B539">
        <v>23</v>
      </c>
      <c r="C539" t="s">
        <v>27</v>
      </c>
      <c r="D539">
        <v>144793</v>
      </c>
      <c r="E539" t="s">
        <v>336</v>
      </c>
      <c r="F539" s="7">
        <v>0.23</v>
      </c>
    </row>
    <row r="540" spans="1:6" x14ac:dyDescent="0.25">
      <c r="A540" s="4" t="s">
        <v>177</v>
      </c>
      <c r="B540">
        <v>19</v>
      </c>
      <c r="C540" t="s">
        <v>19</v>
      </c>
      <c r="D540">
        <v>123580</v>
      </c>
      <c r="E540" t="s">
        <v>338</v>
      </c>
      <c r="F540" s="7">
        <v>0.23</v>
      </c>
    </row>
    <row r="541" spans="1:6" x14ac:dyDescent="0.25">
      <c r="A541" s="4" t="s">
        <v>279</v>
      </c>
      <c r="B541">
        <v>27</v>
      </c>
      <c r="C541" t="s">
        <v>79</v>
      </c>
      <c r="D541">
        <v>172085</v>
      </c>
      <c r="E541" t="s">
        <v>338</v>
      </c>
      <c r="F541" s="7">
        <v>0.21</v>
      </c>
    </row>
    <row r="542" spans="1:6" x14ac:dyDescent="0.25">
      <c r="A542" s="4" t="s">
        <v>308</v>
      </c>
      <c r="B542">
        <v>28</v>
      </c>
      <c r="C542" t="s">
        <v>21</v>
      </c>
      <c r="D542">
        <v>167126</v>
      </c>
      <c r="E542" t="s">
        <v>332</v>
      </c>
      <c r="F542" s="7">
        <v>0.26</v>
      </c>
    </row>
    <row r="543" spans="1:6" x14ac:dyDescent="0.25">
      <c r="A543" s="4" t="s">
        <v>170</v>
      </c>
      <c r="B543">
        <v>27</v>
      </c>
      <c r="C543" t="s">
        <v>27</v>
      </c>
      <c r="D543">
        <v>169546</v>
      </c>
      <c r="E543" t="s">
        <v>330</v>
      </c>
      <c r="F543" s="7">
        <v>0.26</v>
      </c>
    </row>
    <row r="544" spans="1:6" x14ac:dyDescent="0.25">
      <c r="A544" s="4" t="s">
        <v>214</v>
      </c>
      <c r="B544">
        <v>19</v>
      </c>
      <c r="C544" t="s">
        <v>62</v>
      </c>
      <c r="D544">
        <v>196548</v>
      </c>
      <c r="E544" t="s">
        <v>330</v>
      </c>
      <c r="F544" s="7">
        <v>0.26</v>
      </c>
    </row>
    <row r="545" spans="1:6" x14ac:dyDescent="0.25">
      <c r="A545" s="4" t="s">
        <v>220</v>
      </c>
      <c r="B545">
        <v>21</v>
      </c>
      <c r="C545" t="s">
        <v>27</v>
      </c>
      <c r="D545">
        <v>161472</v>
      </c>
      <c r="E545" t="s">
        <v>333</v>
      </c>
      <c r="F545" s="7">
        <v>0.21</v>
      </c>
    </row>
    <row r="546" spans="1:6" x14ac:dyDescent="0.25">
      <c r="A546" s="4" t="s">
        <v>22</v>
      </c>
      <c r="B546">
        <v>24</v>
      </c>
      <c r="C546" t="s">
        <v>33</v>
      </c>
      <c r="D546">
        <v>199150</v>
      </c>
      <c r="E546" t="s">
        <v>332</v>
      </c>
      <c r="F546" s="7">
        <v>0.28000000000000003</v>
      </c>
    </row>
    <row r="547" spans="1:6" x14ac:dyDescent="0.25">
      <c r="A547" s="4" t="s">
        <v>409</v>
      </c>
      <c r="B547">
        <v>20</v>
      </c>
      <c r="C547" t="s">
        <v>15</v>
      </c>
      <c r="D547">
        <v>185949</v>
      </c>
      <c r="E547" t="s">
        <v>332</v>
      </c>
      <c r="F547" s="7">
        <v>0.26</v>
      </c>
    </row>
    <row r="548" spans="1:6" x14ac:dyDescent="0.25">
      <c r="A548" s="4" t="s">
        <v>415</v>
      </c>
      <c r="B548">
        <v>30</v>
      </c>
      <c r="C548" t="s">
        <v>33</v>
      </c>
      <c r="D548">
        <v>143348</v>
      </c>
      <c r="E548" t="s">
        <v>338</v>
      </c>
      <c r="F548" s="7">
        <v>0.21</v>
      </c>
    </row>
    <row r="549" spans="1:6" x14ac:dyDescent="0.25">
      <c r="A549" s="4" t="s">
        <v>153</v>
      </c>
      <c r="B549">
        <v>26</v>
      </c>
      <c r="C549" t="s">
        <v>72</v>
      </c>
      <c r="D549">
        <v>144539</v>
      </c>
      <c r="E549" t="s">
        <v>330</v>
      </c>
      <c r="F549" s="7">
        <v>0.25</v>
      </c>
    </row>
    <row r="550" spans="1:6" x14ac:dyDescent="0.25">
      <c r="A550" s="4" t="s">
        <v>37</v>
      </c>
      <c r="B550">
        <v>21</v>
      </c>
      <c r="C550" t="s">
        <v>25</v>
      </c>
      <c r="D550">
        <v>184044</v>
      </c>
      <c r="E550" t="s">
        <v>338</v>
      </c>
      <c r="F550" s="7">
        <v>0.21</v>
      </c>
    </row>
    <row r="551" spans="1:6" x14ac:dyDescent="0.25">
      <c r="A551" s="4" t="s">
        <v>150</v>
      </c>
      <c r="B551">
        <v>24</v>
      </c>
      <c r="C551" t="s">
        <v>17</v>
      </c>
      <c r="D551">
        <v>126465</v>
      </c>
      <c r="E551" t="s">
        <v>338</v>
      </c>
      <c r="F551" s="7">
        <v>0.23</v>
      </c>
    </row>
    <row r="552" spans="1:6" x14ac:dyDescent="0.25">
      <c r="A552" s="4" t="s">
        <v>222</v>
      </c>
      <c r="B552">
        <v>28</v>
      </c>
      <c r="C552" t="s">
        <v>27</v>
      </c>
      <c r="D552">
        <v>114926</v>
      </c>
      <c r="E552" t="s">
        <v>338</v>
      </c>
      <c r="F552" s="7">
        <v>0.23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31C8A-AF4A-47E0-801B-2429331ED189}">
  <sheetPr codeName="Sheet2"/>
  <dimension ref="A4:K566"/>
  <sheetViews>
    <sheetView workbookViewId="0">
      <selection activeCell="K6" sqref="K6"/>
    </sheetView>
  </sheetViews>
  <sheetFormatPr defaultRowHeight="15" x14ac:dyDescent="0.25"/>
  <cols>
    <col min="1" max="1" width="24" customWidth="1"/>
    <col min="3" max="3" width="37" bestFit="1" customWidth="1"/>
    <col min="4" max="4" width="12.85546875" bestFit="1" customWidth="1"/>
    <col min="5" max="5" width="15.5703125" bestFit="1" customWidth="1"/>
    <col min="6" max="6" width="12.42578125" bestFit="1" customWidth="1"/>
    <col min="7" max="7" width="16.85546875" bestFit="1" customWidth="1"/>
    <col min="8" max="8" width="18.5703125" bestFit="1" customWidth="1"/>
    <col min="9" max="9" width="22.140625" bestFit="1" customWidth="1"/>
    <col min="10" max="10" width="18.85546875" bestFit="1" customWidth="1"/>
    <col min="11" max="11" width="15.7109375" bestFit="1" customWidth="1"/>
  </cols>
  <sheetData>
    <row r="4" spans="1:11" ht="33.75" x14ac:dyDescent="0.25">
      <c r="A4" s="2" t="s">
        <v>0</v>
      </c>
    </row>
    <row r="5" spans="1:11" x14ac:dyDescent="0.25">
      <c r="A5" s="3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322</v>
      </c>
      <c r="H5" s="5" t="s">
        <v>323</v>
      </c>
      <c r="I5" t="s">
        <v>324</v>
      </c>
      <c r="J5" t="s">
        <v>325</v>
      </c>
      <c r="K5" t="s">
        <v>326</v>
      </c>
    </row>
    <row r="6" spans="1:11" x14ac:dyDescent="0.25">
      <c r="A6" s="4" t="s">
        <v>14</v>
      </c>
      <c r="B6">
        <v>19</v>
      </c>
      <c r="C6" t="s">
        <v>15</v>
      </c>
      <c r="D6" s="8">
        <v>150000</v>
      </c>
      <c r="E6">
        <v>8</v>
      </c>
      <c r="F6" s="7">
        <v>0.26</v>
      </c>
      <c r="G6" s="9">
        <f t="shared" ref="G6:G69" si="0">PMT(F6/12,E6,-D6)</f>
        <v>20623.819694251095</v>
      </c>
      <c r="H6" s="8">
        <f t="shared" ref="H6:H69" si="1">I6-D6</f>
        <v>14990.557554008759</v>
      </c>
      <c r="I6" s="8">
        <f t="shared" ref="I6:I69" si="2">PRODUCT(G6,E6)</f>
        <v>164990.55755400876</v>
      </c>
      <c r="J6" s="8">
        <f>SUM(D6:D555)</f>
        <v>83860000</v>
      </c>
      <c r="K6" s="10">
        <f>SUM(H6:H555)</f>
        <v>6952883.6439117417</v>
      </c>
    </row>
    <row r="7" spans="1:11" x14ac:dyDescent="0.25">
      <c r="A7" s="4" t="s">
        <v>16</v>
      </c>
      <c r="B7">
        <v>28</v>
      </c>
      <c r="C7" t="s">
        <v>17</v>
      </c>
      <c r="D7" s="8">
        <v>140000</v>
      </c>
      <c r="E7">
        <v>7</v>
      </c>
      <c r="F7" s="7">
        <v>0.25</v>
      </c>
      <c r="G7" s="9">
        <f t="shared" si="0"/>
        <v>21701.019975830419</v>
      </c>
      <c r="H7" s="8">
        <f t="shared" si="1"/>
        <v>11907.139830812928</v>
      </c>
      <c r="I7" s="8">
        <f t="shared" si="2"/>
        <v>151907.13983081293</v>
      </c>
    </row>
    <row r="8" spans="1:11" x14ac:dyDescent="0.25">
      <c r="A8" s="4" t="s">
        <v>18</v>
      </c>
      <c r="B8">
        <v>29</v>
      </c>
      <c r="C8" t="s">
        <v>19</v>
      </c>
      <c r="D8" s="8">
        <v>150000</v>
      </c>
      <c r="E8">
        <v>9</v>
      </c>
      <c r="F8" s="7">
        <v>0.25</v>
      </c>
      <c r="G8" s="9">
        <f t="shared" si="0"/>
        <v>18450.479898800852</v>
      </c>
      <c r="H8" s="8">
        <f t="shared" si="1"/>
        <v>16054.319089207653</v>
      </c>
      <c r="I8" s="8">
        <f t="shared" si="2"/>
        <v>166054.31908920765</v>
      </c>
    </row>
    <row r="9" spans="1:11" x14ac:dyDescent="0.25">
      <c r="A9" s="4" t="s">
        <v>20</v>
      </c>
      <c r="B9">
        <v>25</v>
      </c>
      <c r="C9" t="s">
        <v>21</v>
      </c>
      <c r="D9" s="8">
        <v>200000</v>
      </c>
      <c r="E9">
        <v>5</v>
      </c>
      <c r="F9" s="7">
        <v>0.23</v>
      </c>
      <c r="G9" s="9">
        <f t="shared" si="0"/>
        <v>42329.106247319251</v>
      </c>
      <c r="H9" s="8">
        <f t="shared" si="1"/>
        <v>11645.53123659626</v>
      </c>
      <c r="I9" s="8">
        <f t="shared" si="2"/>
        <v>211645.53123659626</v>
      </c>
    </row>
    <row r="10" spans="1:11" x14ac:dyDescent="0.25">
      <c r="A10" s="4" t="s">
        <v>22</v>
      </c>
      <c r="B10">
        <v>27</v>
      </c>
      <c r="C10" t="s">
        <v>327</v>
      </c>
      <c r="D10" s="8">
        <v>150000</v>
      </c>
      <c r="E10">
        <v>7</v>
      </c>
      <c r="F10" s="7">
        <v>0.25</v>
      </c>
      <c r="G10" s="9">
        <f t="shared" si="0"/>
        <v>23251.092831246879</v>
      </c>
      <c r="H10" s="8">
        <f t="shared" si="1"/>
        <v>12757.649818728154</v>
      </c>
      <c r="I10" s="8">
        <f t="shared" si="2"/>
        <v>162757.64981872815</v>
      </c>
    </row>
    <row r="11" spans="1:11" x14ac:dyDescent="0.25">
      <c r="A11" s="4" t="s">
        <v>24</v>
      </c>
      <c r="B11">
        <v>21</v>
      </c>
      <c r="C11" t="s">
        <v>25</v>
      </c>
      <c r="D11" s="8">
        <v>150000</v>
      </c>
      <c r="E11">
        <v>6</v>
      </c>
      <c r="F11" s="7">
        <v>0.23</v>
      </c>
      <c r="G11" s="9">
        <f t="shared" si="0"/>
        <v>26703.610712592705</v>
      </c>
      <c r="H11" s="8">
        <f t="shared" si="1"/>
        <v>10221.664275556221</v>
      </c>
      <c r="I11" s="8">
        <f t="shared" si="2"/>
        <v>160221.66427555622</v>
      </c>
    </row>
    <row r="12" spans="1:11" x14ac:dyDescent="0.25">
      <c r="A12" s="4" t="s">
        <v>26</v>
      </c>
      <c r="B12">
        <v>20</v>
      </c>
      <c r="C12" t="s">
        <v>27</v>
      </c>
      <c r="D12" s="8">
        <v>180000</v>
      </c>
      <c r="E12">
        <v>8</v>
      </c>
      <c r="F12" s="7">
        <v>0.28000000000000003</v>
      </c>
      <c r="G12" s="9">
        <f t="shared" si="0"/>
        <v>24926.037048113303</v>
      </c>
      <c r="H12" s="8">
        <f t="shared" si="1"/>
        <v>19408.296384906425</v>
      </c>
      <c r="I12" s="8">
        <f t="shared" si="2"/>
        <v>199408.29638490643</v>
      </c>
    </row>
    <row r="13" spans="1:11" x14ac:dyDescent="0.25">
      <c r="A13" s="4" t="s">
        <v>28</v>
      </c>
      <c r="B13">
        <v>28</v>
      </c>
      <c r="C13" t="s">
        <v>19</v>
      </c>
      <c r="D13" s="8">
        <v>180000</v>
      </c>
      <c r="E13">
        <v>8</v>
      </c>
      <c r="F13" s="7">
        <v>0.26</v>
      </c>
      <c r="G13" s="9">
        <f t="shared" si="0"/>
        <v>24748.583633101316</v>
      </c>
      <c r="H13" s="8">
        <f t="shared" si="1"/>
        <v>17988.669064810529</v>
      </c>
      <c r="I13" s="8">
        <f t="shared" si="2"/>
        <v>197988.66906481053</v>
      </c>
    </row>
    <row r="14" spans="1:11" x14ac:dyDescent="0.25">
      <c r="A14" s="4" t="s">
        <v>29</v>
      </c>
      <c r="B14">
        <v>28</v>
      </c>
      <c r="C14" t="s">
        <v>25</v>
      </c>
      <c r="D14" s="8">
        <v>190000</v>
      </c>
      <c r="E14">
        <v>5</v>
      </c>
      <c r="F14" s="7">
        <v>0.23</v>
      </c>
      <c r="G14" s="9">
        <f t="shared" si="0"/>
        <v>40212.650934953286</v>
      </c>
      <c r="H14" s="8">
        <f t="shared" si="1"/>
        <v>11063.254674766446</v>
      </c>
      <c r="I14" s="8">
        <f t="shared" si="2"/>
        <v>201063.25467476645</v>
      </c>
    </row>
    <row r="15" spans="1:11" x14ac:dyDescent="0.25">
      <c r="A15" s="4" t="s">
        <v>30</v>
      </c>
      <c r="B15">
        <v>24</v>
      </c>
      <c r="C15" t="s">
        <v>31</v>
      </c>
      <c r="D15" s="8">
        <v>200000</v>
      </c>
      <c r="E15">
        <v>7</v>
      </c>
      <c r="F15" s="7">
        <v>0.25</v>
      </c>
      <c r="G15" s="9">
        <f t="shared" si="0"/>
        <v>31001.45710832917</v>
      </c>
      <c r="H15" s="8">
        <f t="shared" si="1"/>
        <v>17010.199758304196</v>
      </c>
      <c r="I15" s="8">
        <f t="shared" si="2"/>
        <v>217010.1997583042</v>
      </c>
    </row>
    <row r="16" spans="1:11" x14ac:dyDescent="0.25">
      <c r="A16" s="4" t="s">
        <v>32</v>
      </c>
      <c r="B16">
        <v>26</v>
      </c>
      <c r="C16" t="s">
        <v>33</v>
      </c>
      <c r="D16" s="8">
        <v>130000</v>
      </c>
      <c r="E16">
        <v>7</v>
      </c>
      <c r="F16" s="7">
        <v>0.23</v>
      </c>
      <c r="G16" s="9">
        <f t="shared" si="0"/>
        <v>20022.261430094972</v>
      </c>
      <c r="H16" s="8">
        <f t="shared" si="1"/>
        <v>10155.830010664795</v>
      </c>
      <c r="I16" s="8">
        <f t="shared" si="2"/>
        <v>140155.83001066479</v>
      </c>
    </row>
    <row r="17" spans="1:9" x14ac:dyDescent="0.25">
      <c r="A17" s="4" t="s">
        <v>34</v>
      </c>
      <c r="B17">
        <v>22</v>
      </c>
      <c r="C17" t="s">
        <v>25</v>
      </c>
      <c r="D17" s="8">
        <v>200000</v>
      </c>
      <c r="E17">
        <v>7</v>
      </c>
      <c r="F17" s="7">
        <v>0.25</v>
      </c>
      <c r="G17" s="9">
        <f t="shared" si="0"/>
        <v>31001.45710832917</v>
      </c>
      <c r="H17" s="8">
        <f t="shared" si="1"/>
        <v>17010.199758304196</v>
      </c>
      <c r="I17" s="8">
        <f t="shared" si="2"/>
        <v>217010.1997583042</v>
      </c>
    </row>
    <row r="18" spans="1:9" x14ac:dyDescent="0.25">
      <c r="A18" s="4" t="s">
        <v>35</v>
      </c>
      <c r="B18">
        <v>27</v>
      </c>
      <c r="C18" t="s">
        <v>36</v>
      </c>
      <c r="D18" s="8">
        <v>150000</v>
      </c>
      <c r="E18">
        <v>9</v>
      </c>
      <c r="F18" s="7">
        <v>0.26</v>
      </c>
      <c r="G18" s="9">
        <f t="shared" si="0"/>
        <v>18523.793300417317</v>
      </c>
      <c r="H18" s="8">
        <f t="shared" si="1"/>
        <v>16714.139703755849</v>
      </c>
      <c r="I18" s="8">
        <f t="shared" si="2"/>
        <v>166714.13970375585</v>
      </c>
    </row>
    <row r="19" spans="1:9" x14ac:dyDescent="0.25">
      <c r="A19" s="4" t="s">
        <v>37</v>
      </c>
      <c r="B19">
        <v>25</v>
      </c>
      <c r="C19" t="s">
        <v>15</v>
      </c>
      <c r="D19" s="8">
        <v>170000</v>
      </c>
      <c r="E19">
        <v>5</v>
      </c>
      <c r="F19" s="7">
        <v>0.21</v>
      </c>
      <c r="G19" s="9">
        <f t="shared" si="0"/>
        <v>35805.642187542151</v>
      </c>
      <c r="H19" s="8">
        <f t="shared" si="1"/>
        <v>9028.2109377107699</v>
      </c>
      <c r="I19" s="8">
        <f t="shared" si="2"/>
        <v>179028.21093771077</v>
      </c>
    </row>
    <row r="20" spans="1:9" x14ac:dyDescent="0.25">
      <c r="A20" s="4" t="s">
        <v>38</v>
      </c>
      <c r="B20">
        <v>25</v>
      </c>
      <c r="C20" t="s">
        <v>27</v>
      </c>
      <c r="D20" s="8">
        <v>160000</v>
      </c>
      <c r="E20">
        <v>5</v>
      </c>
      <c r="F20" s="7">
        <v>0.23</v>
      </c>
      <c r="G20" s="9">
        <f t="shared" si="0"/>
        <v>33863.2849978554</v>
      </c>
      <c r="H20" s="8">
        <f t="shared" si="1"/>
        <v>9316.4249892770022</v>
      </c>
      <c r="I20" s="8">
        <f t="shared" si="2"/>
        <v>169316.424989277</v>
      </c>
    </row>
    <row r="21" spans="1:9" x14ac:dyDescent="0.25">
      <c r="A21" s="4" t="s">
        <v>39</v>
      </c>
      <c r="B21">
        <v>20</v>
      </c>
      <c r="C21" t="s">
        <v>328</v>
      </c>
      <c r="D21" s="8">
        <v>170000</v>
      </c>
      <c r="E21">
        <v>7</v>
      </c>
      <c r="F21" s="7">
        <v>0.23</v>
      </c>
      <c r="G21" s="9">
        <f t="shared" si="0"/>
        <v>26182.95725473958</v>
      </c>
      <c r="H21" s="8">
        <f t="shared" si="1"/>
        <v>13280.700783177046</v>
      </c>
      <c r="I21" s="8">
        <f t="shared" si="2"/>
        <v>183280.70078317705</v>
      </c>
    </row>
    <row r="22" spans="1:9" x14ac:dyDescent="0.25">
      <c r="A22" s="4" t="s">
        <v>40</v>
      </c>
      <c r="B22">
        <v>27</v>
      </c>
      <c r="C22" t="s">
        <v>17</v>
      </c>
      <c r="D22" s="8">
        <v>180000</v>
      </c>
      <c r="E22">
        <v>6</v>
      </c>
      <c r="F22" s="7">
        <v>0.22</v>
      </c>
      <c r="G22" s="9">
        <f t="shared" si="0"/>
        <v>31954.137453513467</v>
      </c>
      <c r="H22" s="8">
        <f t="shared" si="1"/>
        <v>11724.824721080804</v>
      </c>
      <c r="I22" s="8">
        <f t="shared" si="2"/>
        <v>191724.8247210808</v>
      </c>
    </row>
    <row r="23" spans="1:9" x14ac:dyDescent="0.25">
      <c r="A23" s="4" t="s">
        <v>41</v>
      </c>
      <c r="B23">
        <v>27</v>
      </c>
      <c r="C23" t="s">
        <v>19</v>
      </c>
      <c r="D23" s="8">
        <v>180000</v>
      </c>
      <c r="E23">
        <v>7</v>
      </c>
      <c r="F23" s="7">
        <v>0.25</v>
      </c>
      <c r="G23" s="9">
        <f t="shared" si="0"/>
        <v>27901.311397496251</v>
      </c>
      <c r="H23" s="8">
        <f t="shared" si="1"/>
        <v>15309.179782473744</v>
      </c>
      <c r="I23" s="8">
        <f t="shared" si="2"/>
        <v>195309.17978247374</v>
      </c>
    </row>
    <row r="24" spans="1:9" x14ac:dyDescent="0.25">
      <c r="A24" s="4" t="s">
        <v>42</v>
      </c>
      <c r="B24">
        <v>24</v>
      </c>
      <c r="C24" t="s">
        <v>328</v>
      </c>
      <c r="D24" s="8">
        <v>170000</v>
      </c>
      <c r="E24">
        <v>7</v>
      </c>
      <c r="F24" s="7">
        <v>0.23</v>
      </c>
      <c r="G24" s="9">
        <f t="shared" si="0"/>
        <v>26182.95725473958</v>
      </c>
      <c r="H24" s="8">
        <f t="shared" si="1"/>
        <v>13280.700783177046</v>
      </c>
      <c r="I24" s="8">
        <f t="shared" si="2"/>
        <v>183280.70078317705</v>
      </c>
    </row>
    <row r="25" spans="1:9" x14ac:dyDescent="0.25">
      <c r="A25" s="4" t="s">
        <v>43</v>
      </c>
      <c r="B25">
        <v>23</v>
      </c>
      <c r="C25" t="s">
        <v>19</v>
      </c>
      <c r="D25" s="8">
        <v>150000</v>
      </c>
      <c r="E25">
        <v>9</v>
      </c>
      <c r="F25" s="7">
        <v>0.27</v>
      </c>
      <c r="G25" s="9">
        <f t="shared" si="0"/>
        <v>18597.255586756768</v>
      </c>
      <c r="H25" s="8">
        <f t="shared" si="1"/>
        <v>17375.300280810916</v>
      </c>
      <c r="I25" s="8">
        <f t="shared" si="2"/>
        <v>167375.30028081092</v>
      </c>
    </row>
    <row r="26" spans="1:9" x14ac:dyDescent="0.25">
      <c r="A26" s="4" t="s">
        <v>44</v>
      </c>
      <c r="B26">
        <v>30</v>
      </c>
      <c r="C26" t="s">
        <v>45</v>
      </c>
      <c r="D26" s="8">
        <v>150000</v>
      </c>
      <c r="E26">
        <v>5</v>
      </c>
      <c r="F26" s="7">
        <v>0.21</v>
      </c>
      <c r="G26" s="9">
        <f t="shared" si="0"/>
        <v>31593.213694890128</v>
      </c>
      <c r="H26" s="8">
        <f t="shared" si="1"/>
        <v>7966.0684744506434</v>
      </c>
      <c r="I26" s="8">
        <f t="shared" si="2"/>
        <v>157966.06847445064</v>
      </c>
    </row>
    <row r="27" spans="1:9" x14ac:dyDescent="0.25">
      <c r="A27" s="4" t="s">
        <v>46</v>
      </c>
      <c r="B27">
        <v>19</v>
      </c>
      <c r="C27" t="s">
        <v>36</v>
      </c>
      <c r="D27" s="8">
        <v>150000</v>
      </c>
      <c r="E27">
        <v>7</v>
      </c>
      <c r="F27" s="7">
        <v>0.23</v>
      </c>
      <c r="G27" s="9">
        <f t="shared" si="0"/>
        <v>23102.609342417276</v>
      </c>
      <c r="H27" s="8">
        <f t="shared" si="1"/>
        <v>11718.265396920935</v>
      </c>
      <c r="I27" s="8">
        <f t="shared" si="2"/>
        <v>161718.26539692094</v>
      </c>
    </row>
    <row r="28" spans="1:9" x14ac:dyDescent="0.25">
      <c r="A28" s="4" t="s">
        <v>47</v>
      </c>
      <c r="B28">
        <v>28</v>
      </c>
      <c r="C28" t="s">
        <v>36</v>
      </c>
      <c r="D28" s="8">
        <v>160000</v>
      </c>
      <c r="E28">
        <v>7</v>
      </c>
      <c r="F28" s="7">
        <v>0.24</v>
      </c>
      <c r="G28" s="9">
        <f t="shared" si="0"/>
        <v>24721.912976495925</v>
      </c>
      <c r="H28" s="8">
        <f t="shared" si="1"/>
        <v>13053.39083547148</v>
      </c>
      <c r="I28" s="8">
        <f t="shared" si="2"/>
        <v>173053.39083547148</v>
      </c>
    </row>
    <row r="29" spans="1:9" x14ac:dyDescent="0.25">
      <c r="A29" s="4" t="s">
        <v>48</v>
      </c>
      <c r="B29">
        <v>20</v>
      </c>
      <c r="C29" t="s">
        <v>15</v>
      </c>
      <c r="D29" s="8">
        <v>110000</v>
      </c>
      <c r="E29">
        <v>8</v>
      </c>
      <c r="F29" s="7">
        <v>0.26</v>
      </c>
      <c r="G29" s="9">
        <f t="shared" si="0"/>
        <v>15124.134442450804</v>
      </c>
      <c r="H29" s="8">
        <f t="shared" si="1"/>
        <v>10993.075539606434</v>
      </c>
      <c r="I29" s="8">
        <f t="shared" si="2"/>
        <v>120993.07553960643</v>
      </c>
    </row>
    <row r="30" spans="1:9" x14ac:dyDescent="0.25">
      <c r="A30" s="4" t="s">
        <v>49</v>
      </c>
      <c r="B30">
        <v>28</v>
      </c>
      <c r="C30" t="s">
        <v>50</v>
      </c>
      <c r="D30" s="8">
        <v>170000</v>
      </c>
      <c r="E30">
        <v>6</v>
      </c>
      <c r="F30" s="7">
        <v>0.21</v>
      </c>
      <c r="G30" s="9">
        <f t="shared" si="0"/>
        <v>30093.834608024212</v>
      </c>
      <c r="H30" s="8">
        <f t="shared" si="1"/>
        <v>10563.007648145256</v>
      </c>
      <c r="I30" s="8">
        <f t="shared" si="2"/>
        <v>180563.00764814526</v>
      </c>
    </row>
    <row r="31" spans="1:9" x14ac:dyDescent="0.25">
      <c r="A31" s="4" t="s">
        <v>51</v>
      </c>
      <c r="B31">
        <v>25</v>
      </c>
      <c r="C31" t="s">
        <v>15</v>
      </c>
      <c r="D31" s="8">
        <v>160000</v>
      </c>
      <c r="E31">
        <v>6</v>
      </c>
      <c r="F31" s="7">
        <v>0.21</v>
      </c>
      <c r="G31" s="9">
        <f t="shared" si="0"/>
        <v>28323.609042846314</v>
      </c>
      <c r="H31" s="8">
        <f t="shared" si="1"/>
        <v>9941.6542570778984</v>
      </c>
      <c r="I31" s="8">
        <f t="shared" si="2"/>
        <v>169941.6542570779</v>
      </c>
    </row>
    <row r="32" spans="1:9" x14ac:dyDescent="0.25">
      <c r="A32" s="4" t="s">
        <v>52</v>
      </c>
      <c r="B32">
        <v>23</v>
      </c>
      <c r="C32" t="s">
        <v>21</v>
      </c>
      <c r="D32" s="8">
        <v>200000</v>
      </c>
      <c r="E32">
        <v>8</v>
      </c>
      <c r="F32" s="7">
        <v>0.28000000000000003</v>
      </c>
      <c r="G32" s="9">
        <f t="shared" si="0"/>
        <v>27695.59672012589</v>
      </c>
      <c r="H32" s="8">
        <f t="shared" si="1"/>
        <v>21564.77376100712</v>
      </c>
      <c r="I32" s="8">
        <f t="shared" si="2"/>
        <v>221564.77376100712</v>
      </c>
    </row>
    <row r="33" spans="1:9" x14ac:dyDescent="0.25">
      <c r="A33" s="4" t="s">
        <v>53</v>
      </c>
      <c r="B33">
        <v>30</v>
      </c>
      <c r="C33" t="s">
        <v>23</v>
      </c>
      <c r="D33" s="8">
        <v>150000</v>
      </c>
      <c r="E33">
        <v>6</v>
      </c>
      <c r="F33" s="7">
        <v>0.22</v>
      </c>
      <c r="G33" s="9">
        <f t="shared" si="0"/>
        <v>26628.447877927887</v>
      </c>
      <c r="H33" s="8">
        <f t="shared" si="1"/>
        <v>9770.6872675673221</v>
      </c>
      <c r="I33" s="8">
        <f t="shared" si="2"/>
        <v>159770.68726756732</v>
      </c>
    </row>
    <row r="34" spans="1:9" x14ac:dyDescent="0.25">
      <c r="A34" s="4" t="s">
        <v>54</v>
      </c>
      <c r="B34">
        <v>18</v>
      </c>
      <c r="C34" t="s">
        <v>21</v>
      </c>
      <c r="D34" s="8">
        <v>190000</v>
      </c>
      <c r="E34">
        <v>7</v>
      </c>
      <c r="F34" s="7">
        <v>0.23</v>
      </c>
      <c r="G34" s="9">
        <f t="shared" si="0"/>
        <v>29263.305167061884</v>
      </c>
      <c r="H34" s="8">
        <f t="shared" si="1"/>
        <v>14843.136169433186</v>
      </c>
      <c r="I34" s="8">
        <f t="shared" si="2"/>
        <v>204843.13616943319</v>
      </c>
    </row>
    <row r="35" spans="1:9" x14ac:dyDescent="0.25">
      <c r="A35" s="4" t="s">
        <v>55</v>
      </c>
      <c r="B35">
        <v>25</v>
      </c>
      <c r="C35" t="s">
        <v>27</v>
      </c>
      <c r="D35" s="8">
        <v>190000</v>
      </c>
      <c r="E35">
        <v>8</v>
      </c>
      <c r="F35" s="7">
        <v>0.26</v>
      </c>
      <c r="G35" s="9">
        <f t="shared" si="0"/>
        <v>26123.504946051387</v>
      </c>
      <c r="H35" s="8">
        <f t="shared" si="1"/>
        <v>18988.039568411099</v>
      </c>
      <c r="I35" s="8">
        <f t="shared" si="2"/>
        <v>208988.0395684111</v>
      </c>
    </row>
    <row r="36" spans="1:9" x14ac:dyDescent="0.25">
      <c r="A36" s="4" t="s">
        <v>56</v>
      </c>
      <c r="B36">
        <v>20</v>
      </c>
      <c r="C36" t="s">
        <v>45</v>
      </c>
      <c r="D36" s="8">
        <v>110000</v>
      </c>
      <c r="E36">
        <v>7</v>
      </c>
      <c r="F36" s="7">
        <v>0.25</v>
      </c>
      <c r="G36" s="9">
        <f t="shared" si="0"/>
        <v>17050.801409581043</v>
      </c>
      <c r="H36" s="8">
        <f t="shared" si="1"/>
        <v>9355.6098670673091</v>
      </c>
      <c r="I36" s="8">
        <f t="shared" si="2"/>
        <v>119355.60986706731</v>
      </c>
    </row>
    <row r="37" spans="1:9" x14ac:dyDescent="0.25">
      <c r="A37" s="4" t="s">
        <v>57</v>
      </c>
      <c r="B37">
        <v>29</v>
      </c>
      <c r="C37" t="s">
        <v>17</v>
      </c>
      <c r="D37" s="8">
        <v>100000</v>
      </c>
      <c r="E37">
        <v>6</v>
      </c>
      <c r="F37" s="7">
        <v>0.22</v>
      </c>
      <c r="G37" s="9">
        <f t="shared" si="0"/>
        <v>17752.298585285258</v>
      </c>
      <c r="H37" s="8">
        <f t="shared" si="1"/>
        <v>6513.7915117115481</v>
      </c>
      <c r="I37" s="8">
        <f t="shared" si="2"/>
        <v>106513.79151171155</v>
      </c>
    </row>
    <row r="38" spans="1:9" x14ac:dyDescent="0.25">
      <c r="A38" s="4" t="s">
        <v>58</v>
      </c>
      <c r="B38">
        <v>23</v>
      </c>
      <c r="C38" t="s">
        <v>23</v>
      </c>
      <c r="D38" s="8">
        <v>130000</v>
      </c>
      <c r="E38">
        <v>5</v>
      </c>
      <c r="F38" s="7">
        <v>0.23</v>
      </c>
      <c r="G38" s="9">
        <f t="shared" si="0"/>
        <v>27513.919060757511</v>
      </c>
      <c r="H38" s="8">
        <f t="shared" si="1"/>
        <v>7569.5953037875588</v>
      </c>
      <c r="I38" s="8">
        <f t="shared" si="2"/>
        <v>137569.59530378756</v>
      </c>
    </row>
    <row r="39" spans="1:9" x14ac:dyDescent="0.25">
      <c r="A39" s="4" t="s">
        <v>59</v>
      </c>
      <c r="B39">
        <v>21</v>
      </c>
      <c r="C39" t="s">
        <v>31</v>
      </c>
      <c r="D39" s="8">
        <v>120000</v>
      </c>
      <c r="E39">
        <v>5</v>
      </c>
      <c r="F39" s="7">
        <v>0.21</v>
      </c>
      <c r="G39" s="9">
        <f t="shared" si="0"/>
        <v>25274.570955912106</v>
      </c>
      <c r="H39" s="8">
        <f t="shared" si="1"/>
        <v>6372.8547795605264</v>
      </c>
      <c r="I39" s="8">
        <f t="shared" si="2"/>
        <v>126372.85477956053</v>
      </c>
    </row>
    <row r="40" spans="1:9" x14ac:dyDescent="0.25">
      <c r="A40" s="4" t="s">
        <v>40</v>
      </c>
      <c r="B40">
        <v>27</v>
      </c>
      <c r="C40" t="s">
        <v>31</v>
      </c>
      <c r="D40" s="8">
        <v>200000</v>
      </c>
      <c r="E40">
        <v>6</v>
      </c>
      <c r="F40" s="7">
        <v>0.23</v>
      </c>
      <c r="G40" s="9">
        <f t="shared" si="0"/>
        <v>35604.814283456937</v>
      </c>
      <c r="H40" s="8">
        <f t="shared" si="1"/>
        <v>13628.885700741608</v>
      </c>
      <c r="I40" s="8">
        <f t="shared" si="2"/>
        <v>213628.88570074161</v>
      </c>
    </row>
    <row r="41" spans="1:9" x14ac:dyDescent="0.25">
      <c r="A41" s="4" t="s">
        <v>60</v>
      </c>
      <c r="B41">
        <v>28</v>
      </c>
      <c r="C41" t="s">
        <v>45</v>
      </c>
      <c r="D41" s="8">
        <v>100000</v>
      </c>
      <c r="E41">
        <v>8</v>
      </c>
      <c r="F41" s="7">
        <v>0.26</v>
      </c>
      <c r="G41" s="9">
        <f t="shared" si="0"/>
        <v>13749.213129500729</v>
      </c>
      <c r="H41" s="8">
        <f t="shared" si="1"/>
        <v>9993.7050360058347</v>
      </c>
      <c r="I41" s="8">
        <f t="shared" si="2"/>
        <v>109993.70503600583</v>
      </c>
    </row>
    <row r="42" spans="1:9" x14ac:dyDescent="0.25">
      <c r="A42" s="4" t="s">
        <v>61</v>
      </c>
      <c r="B42">
        <v>23</v>
      </c>
      <c r="C42" t="s">
        <v>62</v>
      </c>
      <c r="D42" s="8">
        <v>120000</v>
      </c>
      <c r="E42">
        <v>6</v>
      </c>
      <c r="F42" s="7">
        <v>0.23</v>
      </c>
      <c r="G42" s="9">
        <f t="shared" si="0"/>
        <v>21362.888570074163</v>
      </c>
      <c r="H42" s="8">
        <f t="shared" si="1"/>
        <v>8177.3314204449707</v>
      </c>
      <c r="I42" s="8">
        <f t="shared" si="2"/>
        <v>128177.33142044497</v>
      </c>
    </row>
    <row r="43" spans="1:9" x14ac:dyDescent="0.25">
      <c r="A43" s="4" t="s">
        <v>63</v>
      </c>
      <c r="B43">
        <v>30</v>
      </c>
      <c r="C43" t="s">
        <v>45</v>
      </c>
      <c r="D43" s="8">
        <v>110000</v>
      </c>
      <c r="E43">
        <v>8</v>
      </c>
      <c r="F43" s="7">
        <v>0.27</v>
      </c>
      <c r="G43" s="9">
        <f t="shared" si="0"/>
        <v>15178.307987340337</v>
      </c>
      <c r="H43" s="8">
        <f t="shared" si="1"/>
        <v>11426.463898722694</v>
      </c>
      <c r="I43" s="8">
        <f t="shared" si="2"/>
        <v>121426.46389872269</v>
      </c>
    </row>
    <row r="44" spans="1:9" x14ac:dyDescent="0.25">
      <c r="A44" s="4" t="s">
        <v>64</v>
      </c>
      <c r="B44">
        <v>28</v>
      </c>
      <c r="C44" t="s">
        <v>36</v>
      </c>
      <c r="D44" s="8">
        <v>140000</v>
      </c>
      <c r="E44">
        <v>9</v>
      </c>
      <c r="F44" s="7">
        <v>0.27</v>
      </c>
      <c r="G44" s="9">
        <f t="shared" si="0"/>
        <v>17357.438547639653</v>
      </c>
      <c r="H44" s="8">
        <f t="shared" si="1"/>
        <v>16216.946928756865</v>
      </c>
      <c r="I44" s="8">
        <f t="shared" si="2"/>
        <v>156216.94692875686</v>
      </c>
    </row>
    <row r="45" spans="1:9" x14ac:dyDescent="0.25">
      <c r="A45" s="4" t="s">
        <v>65</v>
      </c>
      <c r="B45">
        <v>29</v>
      </c>
      <c r="C45" t="s">
        <v>25</v>
      </c>
      <c r="D45" s="8">
        <v>130000</v>
      </c>
      <c r="E45">
        <v>6</v>
      </c>
      <c r="F45" s="7">
        <v>0.21</v>
      </c>
      <c r="G45" s="9">
        <f t="shared" si="0"/>
        <v>23012.932347312631</v>
      </c>
      <c r="H45" s="8">
        <f t="shared" si="1"/>
        <v>8077.5940838757961</v>
      </c>
      <c r="I45" s="8">
        <f t="shared" si="2"/>
        <v>138077.5940838758</v>
      </c>
    </row>
    <row r="46" spans="1:9" x14ac:dyDescent="0.25">
      <c r="A46" s="4" t="s">
        <v>66</v>
      </c>
      <c r="B46">
        <v>26</v>
      </c>
      <c r="C46" t="s">
        <v>19</v>
      </c>
      <c r="D46" s="8">
        <v>150000</v>
      </c>
      <c r="E46">
        <v>9</v>
      </c>
      <c r="F46" s="7">
        <v>0.28000000000000003</v>
      </c>
      <c r="G46" s="9">
        <f t="shared" si="0"/>
        <v>18670.866533114455</v>
      </c>
      <c r="H46" s="8">
        <f t="shared" si="1"/>
        <v>18037.798798030097</v>
      </c>
      <c r="I46" s="8">
        <f t="shared" si="2"/>
        <v>168037.7987980301</v>
      </c>
    </row>
    <row r="47" spans="1:9" x14ac:dyDescent="0.25">
      <c r="A47" s="4" t="s">
        <v>67</v>
      </c>
      <c r="B47">
        <v>28</v>
      </c>
      <c r="C47" t="s">
        <v>15</v>
      </c>
      <c r="D47" s="8">
        <v>110000</v>
      </c>
      <c r="E47">
        <v>9</v>
      </c>
      <c r="F47" s="7">
        <v>0.26</v>
      </c>
      <c r="G47" s="9">
        <f t="shared" si="0"/>
        <v>13584.115086972699</v>
      </c>
      <c r="H47" s="8">
        <f t="shared" si="1"/>
        <v>12257.03578275429</v>
      </c>
      <c r="I47" s="8">
        <f t="shared" si="2"/>
        <v>122257.03578275429</v>
      </c>
    </row>
    <row r="48" spans="1:9" x14ac:dyDescent="0.25">
      <c r="A48" s="4" t="s">
        <v>68</v>
      </c>
      <c r="B48">
        <v>20</v>
      </c>
      <c r="C48" t="s">
        <v>21</v>
      </c>
      <c r="D48" s="8">
        <v>100000</v>
      </c>
      <c r="E48">
        <v>8</v>
      </c>
      <c r="F48" s="7">
        <v>0.26</v>
      </c>
      <c r="G48" s="9">
        <f t="shared" si="0"/>
        <v>13749.213129500729</v>
      </c>
      <c r="H48" s="8">
        <f t="shared" si="1"/>
        <v>9993.7050360058347</v>
      </c>
      <c r="I48" s="8">
        <f t="shared" si="2"/>
        <v>109993.70503600583</v>
      </c>
    </row>
    <row r="49" spans="1:9" x14ac:dyDescent="0.25">
      <c r="A49" s="4" t="s">
        <v>69</v>
      </c>
      <c r="B49">
        <v>19</v>
      </c>
      <c r="C49" t="s">
        <v>19</v>
      </c>
      <c r="D49" s="8">
        <v>140000</v>
      </c>
      <c r="E49">
        <v>6</v>
      </c>
      <c r="F49" s="7">
        <v>0.23</v>
      </c>
      <c r="G49" s="9">
        <f t="shared" si="0"/>
        <v>24923.369998419857</v>
      </c>
      <c r="H49" s="8">
        <f t="shared" si="1"/>
        <v>9540.2199905191374</v>
      </c>
      <c r="I49" s="8">
        <f t="shared" si="2"/>
        <v>149540.21999051914</v>
      </c>
    </row>
    <row r="50" spans="1:9" x14ac:dyDescent="0.25">
      <c r="A50" s="4" t="s">
        <v>70</v>
      </c>
      <c r="B50">
        <v>28</v>
      </c>
      <c r="C50" t="s">
        <v>33</v>
      </c>
      <c r="D50" s="8">
        <v>160000</v>
      </c>
      <c r="E50">
        <v>7</v>
      </c>
      <c r="F50" s="7">
        <v>0.25</v>
      </c>
      <c r="G50" s="9">
        <f t="shared" si="0"/>
        <v>24801.165686663335</v>
      </c>
      <c r="H50" s="8">
        <f t="shared" si="1"/>
        <v>13608.159806643351</v>
      </c>
      <c r="I50" s="8">
        <f t="shared" si="2"/>
        <v>173608.15980664335</v>
      </c>
    </row>
    <row r="51" spans="1:9" x14ac:dyDescent="0.25">
      <c r="A51" s="4" t="s">
        <v>71</v>
      </c>
      <c r="B51">
        <v>28</v>
      </c>
      <c r="C51" t="s">
        <v>72</v>
      </c>
      <c r="D51" s="8">
        <v>140000</v>
      </c>
      <c r="E51">
        <v>6</v>
      </c>
      <c r="F51" s="7">
        <v>0.23</v>
      </c>
      <c r="G51" s="9">
        <f t="shared" si="0"/>
        <v>24923.369998419857</v>
      </c>
      <c r="H51" s="8">
        <f t="shared" si="1"/>
        <v>9540.2199905191374</v>
      </c>
      <c r="I51" s="8">
        <f t="shared" si="2"/>
        <v>149540.21999051914</v>
      </c>
    </row>
    <row r="52" spans="1:9" x14ac:dyDescent="0.25">
      <c r="A52" s="4" t="s">
        <v>73</v>
      </c>
      <c r="B52">
        <v>20</v>
      </c>
      <c r="C52" t="s">
        <v>23</v>
      </c>
      <c r="D52" s="8">
        <v>200000</v>
      </c>
      <c r="E52">
        <v>8</v>
      </c>
      <c r="F52" s="7">
        <v>0.28000000000000003</v>
      </c>
      <c r="G52" s="9">
        <f t="shared" si="0"/>
        <v>27695.59672012589</v>
      </c>
      <c r="H52" s="8">
        <f t="shared" si="1"/>
        <v>21564.77376100712</v>
      </c>
      <c r="I52" s="8">
        <f t="shared" si="2"/>
        <v>221564.77376100712</v>
      </c>
    </row>
    <row r="53" spans="1:9" x14ac:dyDescent="0.25">
      <c r="A53" s="4" t="s">
        <v>74</v>
      </c>
      <c r="B53">
        <v>29</v>
      </c>
      <c r="C53" t="s">
        <v>15</v>
      </c>
      <c r="D53" s="8">
        <v>190000</v>
      </c>
      <c r="E53">
        <v>6</v>
      </c>
      <c r="F53" s="7">
        <v>0.22</v>
      </c>
      <c r="G53" s="9">
        <f t="shared" si="0"/>
        <v>33729.367312041992</v>
      </c>
      <c r="H53" s="8">
        <f t="shared" si="1"/>
        <v>12376.203872251965</v>
      </c>
      <c r="I53" s="8">
        <f t="shared" si="2"/>
        <v>202376.20387225196</v>
      </c>
    </row>
    <row r="54" spans="1:9" x14ac:dyDescent="0.25">
      <c r="A54" s="4" t="s">
        <v>75</v>
      </c>
      <c r="B54">
        <v>21</v>
      </c>
      <c r="C54" t="s">
        <v>72</v>
      </c>
      <c r="D54" s="8">
        <v>110000</v>
      </c>
      <c r="E54">
        <v>5</v>
      </c>
      <c r="F54" s="7">
        <v>0.22</v>
      </c>
      <c r="G54" s="9">
        <f t="shared" si="0"/>
        <v>23224.65286295387</v>
      </c>
      <c r="H54" s="8">
        <f t="shared" si="1"/>
        <v>6123.2643147693452</v>
      </c>
      <c r="I54" s="8">
        <f t="shared" si="2"/>
        <v>116123.26431476935</v>
      </c>
    </row>
    <row r="55" spans="1:9" x14ac:dyDescent="0.25">
      <c r="A55" s="4" t="s">
        <v>76</v>
      </c>
      <c r="B55">
        <v>28</v>
      </c>
      <c r="C55" t="s">
        <v>62</v>
      </c>
      <c r="D55" s="8">
        <v>170000</v>
      </c>
      <c r="E55">
        <v>5</v>
      </c>
      <c r="F55" s="7">
        <v>0.23</v>
      </c>
      <c r="G55" s="9">
        <f t="shared" si="0"/>
        <v>35979.740310221358</v>
      </c>
      <c r="H55" s="8">
        <f t="shared" si="1"/>
        <v>9898.7015511067875</v>
      </c>
      <c r="I55" s="8">
        <f t="shared" si="2"/>
        <v>179898.70155110679</v>
      </c>
    </row>
    <row r="56" spans="1:9" x14ac:dyDescent="0.25">
      <c r="A56" s="4" t="s">
        <v>77</v>
      </c>
      <c r="B56">
        <v>22</v>
      </c>
      <c r="C56" t="s">
        <v>62</v>
      </c>
      <c r="D56" s="8">
        <v>180000</v>
      </c>
      <c r="E56">
        <v>5</v>
      </c>
      <c r="F56" s="7">
        <v>0.21</v>
      </c>
      <c r="G56" s="9">
        <f t="shared" si="0"/>
        <v>37911.856433868161</v>
      </c>
      <c r="H56" s="8">
        <f t="shared" si="1"/>
        <v>9559.2821693408187</v>
      </c>
      <c r="I56" s="8">
        <f t="shared" si="2"/>
        <v>189559.28216934082</v>
      </c>
    </row>
    <row r="57" spans="1:9" x14ac:dyDescent="0.25">
      <c r="A57" s="4" t="s">
        <v>78</v>
      </c>
      <c r="B57">
        <v>18</v>
      </c>
      <c r="C57" t="s">
        <v>79</v>
      </c>
      <c r="D57" s="8">
        <v>200000</v>
      </c>
      <c r="E57">
        <v>6</v>
      </c>
      <c r="F57" s="7">
        <v>0.22</v>
      </c>
      <c r="G57" s="9">
        <f t="shared" si="0"/>
        <v>35504.597170570516</v>
      </c>
      <c r="H57" s="8">
        <f t="shared" si="1"/>
        <v>13027.583023423096</v>
      </c>
      <c r="I57" s="8">
        <f t="shared" si="2"/>
        <v>213027.5830234231</v>
      </c>
    </row>
    <row r="58" spans="1:9" x14ac:dyDescent="0.25">
      <c r="A58" s="4" t="s">
        <v>80</v>
      </c>
      <c r="B58">
        <v>22</v>
      </c>
      <c r="C58" t="s">
        <v>25</v>
      </c>
      <c r="D58" s="8">
        <v>130000</v>
      </c>
      <c r="E58">
        <v>7</v>
      </c>
      <c r="F58" s="7">
        <v>0.25</v>
      </c>
      <c r="G58" s="9">
        <f t="shared" si="0"/>
        <v>20150.947120413959</v>
      </c>
      <c r="H58" s="8">
        <f t="shared" si="1"/>
        <v>11056.629842897702</v>
      </c>
      <c r="I58" s="8">
        <f t="shared" si="2"/>
        <v>141056.6298428977</v>
      </c>
    </row>
    <row r="59" spans="1:9" x14ac:dyDescent="0.25">
      <c r="A59" s="4" t="s">
        <v>81</v>
      </c>
      <c r="B59">
        <v>24</v>
      </c>
      <c r="C59" t="s">
        <v>36</v>
      </c>
      <c r="D59" s="8">
        <v>120000</v>
      </c>
      <c r="E59">
        <v>8</v>
      </c>
      <c r="F59" s="7">
        <v>0.25</v>
      </c>
      <c r="G59" s="9">
        <f t="shared" si="0"/>
        <v>16440.062947262642</v>
      </c>
      <c r="H59" s="8">
        <f t="shared" si="1"/>
        <v>11520.503578101139</v>
      </c>
      <c r="I59" s="8">
        <f t="shared" si="2"/>
        <v>131520.50357810114</v>
      </c>
    </row>
    <row r="60" spans="1:9" x14ac:dyDescent="0.25">
      <c r="A60" s="4" t="s">
        <v>82</v>
      </c>
      <c r="B60">
        <v>30</v>
      </c>
      <c r="C60" t="s">
        <v>62</v>
      </c>
      <c r="D60" s="8">
        <v>160000</v>
      </c>
      <c r="E60">
        <v>9</v>
      </c>
      <c r="F60" s="7">
        <v>0.27</v>
      </c>
      <c r="G60" s="9">
        <f t="shared" si="0"/>
        <v>19837.072625873887</v>
      </c>
      <c r="H60" s="8">
        <f t="shared" si="1"/>
        <v>18533.653632864996</v>
      </c>
      <c r="I60" s="8">
        <f t="shared" si="2"/>
        <v>178533.653632865</v>
      </c>
    </row>
    <row r="61" spans="1:9" x14ac:dyDescent="0.25">
      <c r="A61" s="4" t="s">
        <v>56</v>
      </c>
      <c r="B61">
        <v>29</v>
      </c>
      <c r="C61" t="s">
        <v>72</v>
      </c>
      <c r="D61" s="8">
        <v>160000</v>
      </c>
      <c r="E61">
        <v>6</v>
      </c>
      <c r="F61" s="7">
        <v>0.22</v>
      </c>
      <c r="G61" s="9">
        <f t="shared" si="0"/>
        <v>28403.677736456419</v>
      </c>
      <c r="H61" s="8">
        <f t="shared" si="1"/>
        <v>10422.066418738512</v>
      </c>
      <c r="I61" s="8">
        <f t="shared" si="2"/>
        <v>170422.06641873851</v>
      </c>
    </row>
    <row r="62" spans="1:9" x14ac:dyDescent="0.25">
      <c r="A62" s="4" t="s">
        <v>83</v>
      </c>
      <c r="B62">
        <v>28</v>
      </c>
      <c r="C62" t="s">
        <v>25</v>
      </c>
      <c r="D62" s="8">
        <v>150000</v>
      </c>
      <c r="E62">
        <v>5</v>
      </c>
      <c r="F62" s="7">
        <v>0.23</v>
      </c>
      <c r="G62" s="9">
        <f t="shared" si="0"/>
        <v>31746.829685489436</v>
      </c>
      <c r="H62" s="8">
        <f t="shared" si="1"/>
        <v>8734.1484274471877</v>
      </c>
      <c r="I62" s="8">
        <f t="shared" si="2"/>
        <v>158734.14842744719</v>
      </c>
    </row>
    <row r="63" spans="1:9" x14ac:dyDescent="0.25">
      <c r="A63" s="4" t="s">
        <v>34</v>
      </c>
      <c r="B63">
        <v>29</v>
      </c>
      <c r="C63" t="s">
        <v>15</v>
      </c>
      <c r="D63" s="8">
        <v>190000</v>
      </c>
      <c r="E63">
        <v>7</v>
      </c>
      <c r="F63" s="7">
        <v>0.25</v>
      </c>
      <c r="G63" s="9">
        <f t="shared" si="0"/>
        <v>29451.384252912714</v>
      </c>
      <c r="H63" s="8">
        <f t="shared" si="1"/>
        <v>16159.689770388999</v>
      </c>
      <c r="I63" s="8">
        <f t="shared" si="2"/>
        <v>206159.689770389</v>
      </c>
    </row>
    <row r="64" spans="1:9" x14ac:dyDescent="0.25">
      <c r="A64" s="4" t="s">
        <v>84</v>
      </c>
      <c r="B64">
        <v>29</v>
      </c>
      <c r="C64" t="s">
        <v>36</v>
      </c>
      <c r="D64" s="8">
        <v>170000</v>
      </c>
      <c r="E64">
        <v>6</v>
      </c>
      <c r="F64" s="7">
        <v>0.21</v>
      </c>
      <c r="G64" s="9">
        <f t="shared" si="0"/>
        <v>30093.834608024212</v>
      </c>
      <c r="H64" s="8">
        <f t="shared" si="1"/>
        <v>10563.007648145256</v>
      </c>
      <c r="I64" s="8">
        <f t="shared" si="2"/>
        <v>180563.00764814526</v>
      </c>
    </row>
    <row r="65" spans="1:9" x14ac:dyDescent="0.25">
      <c r="A65" s="4" t="s">
        <v>85</v>
      </c>
      <c r="B65">
        <v>27</v>
      </c>
      <c r="C65" t="s">
        <v>21</v>
      </c>
      <c r="D65" s="8">
        <v>140000</v>
      </c>
      <c r="E65">
        <v>5</v>
      </c>
      <c r="F65" s="7">
        <v>0.22</v>
      </c>
      <c r="G65" s="9">
        <f t="shared" si="0"/>
        <v>29558.649098304926</v>
      </c>
      <c r="H65" s="8">
        <f t="shared" si="1"/>
        <v>7793.2454915246344</v>
      </c>
      <c r="I65" s="8">
        <f t="shared" si="2"/>
        <v>147793.24549152463</v>
      </c>
    </row>
    <row r="66" spans="1:9" x14ac:dyDescent="0.25">
      <c r="A66" s="4" t="s">
        <v>86</v>
      </c>
      <c r="B66">
        <v>21</v>
      </c>
      <c r="C66" t="s">
        <v>27</v>
      </c>
      <c r="D66" s="8">
        <v>130000</v>
      </c>
      <c r="E66">
        <v>8</v>
      </c>
      <c r="F66" s="7">
        <v>0.27</v>
      </c>
      <c r="G66" s="9">
        <f t="shared" si="0"/>
        <v>17938.000348674941</v>
      </c>
      <c r="H66" s="8">
        <f t="shared" si="1"/>
        <v>13504.002789399528</v>
      </c>
      <c r="I66" s="8">
        <f t="shared" si="2"/>
        <v>143504.00278939953</v>
      </c>
    </row>
    <row r="67" spans="1:9" x14ac:dyDescent="0.25">
      <c r="A67" s="4" t="s">
        <v>87</v>
      </c>
      <c r="B67">
        <v>21</v>
      </c>
      <c r="C67" t="s">
        <v>79</v>
      </c>
      <c r="D67" s="8">
        <v>190000</v>
      </c>
      <c r="E67">
        <v>9</v>
      </c>
      <c r="F67" s="7">
        <v>0.28000000000000003</v>
      </c>
      <c r="G67" s="9">
        <f t="shared" si="0"/>
        <v>23649.764275278307</v>
      </c>
      <c r="H67" s="8">
        <f t="shared" si="1"/>
        <v>22847.878477504768</v>
      </c>
      <c r="I67" s="8">
        <f t="shared" si="2"/>
        <v>212847.87847750477</v>
      </c>
    </row>
    <row r="68" spans="1:9" x14ac:dyDescent="0.25">
      <c r="A68" s="4" t="s">
        <v>88</v>
      </c>
      <c r="B68">
        <v>26</v>
      </c>
      <c r="C68" t="s">
        <v>23</v>
      </c>
      <c r="D68" s="8">
        <v>200000</v>
      </c>
      <c r="E68">
        <v>5</v>
      </c>
      <c r="F68" s="7">
        <v>0.23</v>
      </c>
      <c r="G68" s="9">
        <f t="shared" si="0"/>
        <v>42329.106247319251</v>
      </c>
      <c r="H68" s="8">
        <f t="shared" si="1"/>
        <v>11645.53123659626</v>
      </c>
      <c r="I68" s="8">
        <f t="shared" si="2"/>
        <v>211645.53123659626</v>
      </c>
    </row>
    <row r="69" spans="1:9" x14ac:dyDescent="0.25">
      <c r="A69" s="4" t="s">
        <v>89</v>
      </c>
      <c r="B69">
        <v>27</v>
      </c>
      <c r="C69" t="s">
        <v>25</v>
      </c>
      <c r="D69" s="8">
        <v>120000</v>
      </c>
      <c r="E69">
        <v>6</v>
      </c>
      <c r="F69" s="7">
        <v>0.23</v>
      </c>
      <c r="G69" s="9">
        <f t="shared" si="0"/>
        <v>21362.888570074163</v>
      </c>
      <c r="H69" s="8">
        <f t="shared" si="1"/>
        <v>8177.3314204449707</v>
      </c>
      <c r="I69" s="8">
        <f t="shared" si="2"/>
        <v>128177.33142044497</v>
      </c>
    </row>
    <row r="70" spans="1:9" x14ac:dyDescent="0.25">
      <c r="A70" s="4" t="s">
        <v>90</v>
      </c>
      <c r="B70">
        <v>28</v>
      </c>
      <c r="C70" t="s">
        <v>62</v>
      </c>
      <c r="D70" s="8">
        <v>160000</v>
      </c>
      <c r="E70">
        <v>5</v>
      </c>
      <c r="F70" s="7">
        <v>0.23</v>
      </c>
      <c r="G70" s="9">
        <f t="shared" ref="G70:G133" si="3">PMT(F70/12,E70,-D70)</f>
        <v>33863.2849978554</v>
      </c>
      <c r="H70" s="8">
        <f t="shared" ref="H70:H133" si="4">I70-D70</f>
        <v>9316.4249892770022</v>
      </c>
      <c r="I70" s="8">
        <f t="shared" ref="I70:I133" si="5">PRODUCT(G70,E70)</f>
        <v>169316.424989277</v>
      </c>
    </row>
    <row r="71" spans="1:9" x14ac:dyDescent="0.25">
      <c r="A71" s="4" t="s">
        <v>91</v>
      </c>
      <c r="B71">
        <v>28</v>
      </c>
      <c r="C71" t="s">
        <v>33</v>
      </c>
      <c r="D71" s="8">
        <v>140000</v>
      </c>
      <c r="E71">
        <v>7</v>
      </c>
      <c r="F71" s="7">
        <v>0.23</v>
      </c>
      <c r="G71" s="9">
        <f t="shared" si="3"/>
        <v>21562.435386256126</v>
      </c>
      <c r="H71" s="8">
        <f t="shared" si="4"/>
        <v>10937.047703792865</v>
      </c>
      <c r="I71" s="8">
        <f t="shared" si="5"/>
        <v>150937.04770379286</v>
      </c>
    </row>
    <row r="72" spans="1:9" x14ac:dyDescent="0.25">
      <c r="A72" s="4" t="s">
        <v>92</v>
      </c>
      <c r="B72">
        <v>26</v>
      </c>
      <c r="C72" t="s">
        <v>62</v>
      </c>
      <c r="D72" s="8">
        <v>150000</v>
      </c>
      <c r="E72">
        <v>5</v>
      </c>
      <c r="F72" s="7">
        <v>0.22</v>
      </c>
      <c r="G72" s="9">
        <f t="shared" si="3"/>
        <v>31669.981176755275</v>
      </c>
      <c r="H72" s="8">
        <f t="shared" si="4"/>
        <v>8349.9058837763732</v>
      </c>
      <c r="I72" s="8">
        <f t="shared" si="5"/>
        <v>158349.90588377637</v>
      </c>
    </row>
    <row r="73" spans="1:9" x14ac:dyDescent="0.25">
      <c r="A73" s="4" t="s">
        <v>93</v>
      </c>
      <c r="B73">
        <v>29</v>
      </c>
      <c r="C73" t="s">
        <v>23</v>
      </c>
      <c r="D73" s="8">
        <v>110000</v>
      </c>
      <c r="E73">
        <v>7</v>
      </c>
      <c r="F73" s="7">
        <v>0.24</v>
      </c>
      <c r="G73" s="9">
        <f t="shared" si="3"/>
        <v>16996.31517134095</v>
      </c>
      <c r="H73" s="8">
        <f t="shared" si="4"/>
        <v>8974.2061993866519</v>
      </c>
      <c r="I73" s="8">
        <f t="shared" si="5"/>
        <v>118974.20619938665</v>
      </c>
    </row>
    <row r="74" spans="1:9" x14ac:dyDescent="0.25">
      <c r="A74" s="4" t="s">
        <v>94</v>
      </c>
      <c r="B74">
        <v>28</v>
      </c>
      <c r="C74" t="s">
        <v>25</v>
      </c>
      <c r="D74" s="8">
        <v>120000</v>
      </c>
      <c r="E74">
        <v>5</v>
      </c>
      <c r="F74" s="7">
        <v>0.22</v>
      </c>
      <c r="G74" s="9">
        <f t="shared" si="3"/>
        <v>25335.984941404222</v>
      </c>
      <c r="H74" s="8">
        <f t="shared" si="4"/>
        <v>6679.9247070211131</v>
      </c>
      <c r="I74" s="8">
        <f t="shared" si="5"/>
        <v>126679.92470702111</v>
      </c>
    </row>
    <row r="75" spans="1:9" x14ac:dyDescent="0.25">
      <c r="A75" s="4" t="s">
        <v>95</v>
      </c>
      <c r="B75">
        <v>30</v>
      </c>
      <c r="C75" t="s">
        <v>15</v>
      </c>
      <c r="D75" s="8">
        <v>180000</v>
      </c>
      <c r="E75">
        <v>5</v>
      </c>
      <c r="F75" s="7">
        <v>0.22</v>
      </c>
      <c r="G75" s="9">
        <f t="shared" si="3"/>
        <v>38003.977412106331</v>
      </c>
      <c r="H75" s="8">
        <f t="shared" si="4"/>
        <v>10019.887060531648</v>
      </c>
      <c r="I75" s="8">
        <f t="shared" si="5"/>
        <v>190019.88706053165</v>
      </c>
    </row>
    <row r="76" spans="1:9" x14ac:dyDescent="0.25">
      <c r="A76" s="4" t="s">
        <v>96</v>
      </c>
      <c r="B76">
        <v>21</v>
      </c>
      <c r="C76" t="s">
        <v>31</v>
      </c>
      <c r="D76" s="8">
        <v>170000</v>
      </c>
      <c r="E76">
        <v>7</v>
      </c>
      <c r="F76" s="7">
        <v>0.23</v>
      </c>
      <c r="G76" s="9">
        <f t="shared" si="3"/>
        <v>26182.95725473958</v>
      </c>
      <c r="H76" s="8">
        <f t="shared" si="4"/>
        <v>13280.700783177046</v>
      </c>
      <c r="I76" s="8">
        <f t="shared" si="5"/>
        <v>183280.70078317705</v>
      </c>
    </row>
    <row r="77" spans="1:9" x14ac:dyDescent="0.25">
      <c r="A77" s="4" t="s">
        <v>97</v>
      </c>
      <c r="B77">
        <v>28</v>
      </c>
      <c r="C77" t="s">
        <v>45</v>
      </c>
      <c r="D77" s="8">
        <v>190000</v>
      </c>
      <c r="E77">
        <v>6</v>
      </c>
      <c r="F77" s="7">
        <v>0.21</v>
      </c>
      <c r="G77" s="9">
        <f t="shared" si="3"/>
        <v>33634.28573838</v>
      </c>
      <c r="H77" s="8">
        <f t="shared" si="4"/>
        <v>11805.714430280001</v>
      </c>
      <c r="I77" s="8">
        <f t="shared" si="5"/>
        <v>201805.71443028</v>
      </c>
    </row>
    <row r="78" spans="1:9" x14ac:dyDescent="0.25">
      <c r="A78" s="4" t="s">
        <v>98</v>
      </c>
      <c r="B78">
        <v>20</v>
      </c>
      <c r="C78" t="s">
        <v>23</v>
      </c>
      <c r="D78" s="8">
        <v>200000</v>
      </c>
      <c r="E78">
        <v>8</v>
      </c>
      <c r="F78" s="7">
        <v>0.25</v>
      </c>
      <c r="G78" s="9">
        <f t="shared" si="3"/>
        <v>27400.104912104405</v>
      </c>
      <c r="H78" s="8">
        <f t="shared" si="4"/>
        <v>19200.839296835242</v>
      </c>
      <c r="I78" s="8">
        <f t="shared" si="5"/>
        <v>219200.83929683524</v>
      </c>
    </row>
    <row r="79" spans="1:9" x14ac:dyDescent="0.25">
      <c r="A79" s="4" t="s">
        <v>99</v>
      </c>
      <c r="B79">
        <v>26</v>
      </c>
      <c r="C79" t="s">
        <v>23</v>
      </c>
      <c r="D79" s="8">
        <v>100000</v>
      </c>
      <c r="E79">
        <v>7</v>
      </c>
      <c r="F79" s="7">
        <v>0.23</v>
      </c>
      <c r="G79" s="9">
        <f t="shared" si="3"/>
        <v>15401.739561611517</v>
      </c>
      <c r="H79" s="8">
        <f t="shared" si="4"/>
        <v>7812.1769312806136</v>
      </c>
      <c r="I79" s="8">
        <f t="shared" si="5"/>
        <v>107812.17693128061</v>
      </c>
    </row>
    <row r="80" spans="1:9" x14ac:dyDescent="0.25">
      <c r="A80" s="4" t="s">
        <v>100</v>
      </c>
      <c r="B80">
        <v>19</v>
      </c>
      <c r="C80" t="s">
        <v>50</v>
      </c>
      <c r="D80" s="8">
        <v>120000</v>
      </c>
      <c r="E80">
        <v>5</v>
      </c>
      <c r="F80" s="7">
        <v>0.22</v>
      </c>
      <c r="G80" s="9">
        <f t="shared" si="3"/>
        <v>25335.984941404222</v>
      </c>
      <c r="H80" s="8">
        <f t="shared" si="4"/>
        <v>6679.9247070211131</v>
      </c>
      <c r="I80" s="8">
        <f t="shared" si="5"/>
        <v>126679.92470702111</v>
      </c>
    </row>
    <row r="81" spans="1:9" x14ac:dyDescent="0.25">
      <c r="A81" s="4" t="s">
        <v>87</v>
      </c>
      <c r="B81">
        <v>26</v>
      </c>
      <c r="C81" t="s">
        <v>21</v>
      </c>
      <c r="D81" s="8">
        <v>100000</v>
      </c>
      <c r="E81">
        <v>5</v>
      </c>
      <c r="F81" s="7">
        <v>0.21</v>
      </c>
      <c r="G81" s="9">
        <f t="shared" si="3"/>
        <v>21062.142463260087</v>
      </c>
      <c r="H81" s="8">
        <f t="shared" si="4"/>
        <v>5310.7123163004289</v>
      </c>
      <c r="I81" s="8">
        <f t="shared" si="5"/>
        <v>105310.71231630043</v>
      </c>
    </row>
    <row r="82" spans="1:9" x14ac:dyDescent="0.25">
      <c r="A82" s="4" t="s">
        <v>92</v>
      </c>
      <c r="B82">
        <v>19</v>
      </c>
      <c r="C82" t="s">
        <v>62</v>
      </c>
      <c r="D82" s="8">
        <v>100000</v>
      </c>
      <c r="E82">
        <v>6</v>
      </c>
      <c r="F82" s="7">
        <v>0.22</v>
      </c>
      <c r="G82" s="9">
        <f t="shared" si="3"/>
        <v>17752.298585285258</v>
      </c>
      <c r="H82" s="8">
        <f t="shared" si="4"/>
        <v>6513.7915117115481</v>
      </c>
      <c r="I82" s="8">
        <f t="shared" si="5"/>
        <v>106513.79151171155</v>
      </c>
    </row>
    <row r="83" spans="1:9" x14ac:dyDescent="0.25">
      <c r="A83" s="4" t="s">
        <v>101</v>
      </c>
      <c r="B83">
        <v>21</v>
      </c>
      <c r="C83" t="s">
        <v>27</v>
      </c>
      <c r="D83" s="8">
        <v>170000</v>
      </c>
      <c r="E83">
        <v>9</v>
      </c>
      <c r="F83" s="7">
        <v>0.27</v>
      </c>
      <c r="G83" s="9">
        <f t="shared" si="3"/>
        <v>21076.889664991006</v>
      </c>
      <c r="H83" s="8">
        <f t="shared" si="4"/>
        <v>19692.006984919048</v>
      </c>
      <c r="I83" s="8">
        <f t="shared" si="5"/>
        <v>189692.00698491905</v>
      </c>
    </row>
    <row r="84" spans="1:9" x14ac:dyDescent="0.25">
      <c r="A84" s="4" t="s">
        <v>102</v>
      </c>
      <c r="B84">
        <v>24</v>
      </c>
      <c r="C84" t="s">
        <v>31</v>
      </c>
      <c r="D84" s="8">
        <v>190000</v>
      </c>
      <c r="E84">
        <v>8</v>
      </c>
      <c r="F84" s="7">
        <v>0.26</v>
      </c>
      <c r="G84" s="9">
        <f t="shared" si="3"/>
        <v>26123.504946051387</v>
      </c>
      <c r="H84" s="8">
        <f t="shared" si="4"/>
        <v>18988.039568411099</v>
      </c>
      <c r="I84" s="8">
        <f t="shared" si="5"/>
        <v>208988.0395684111</v>
      </c>
    </row>
    <row r="85" spans="1:9" x14ac:dyDescent="0.25">
      <c r="A85" s="4" t="s">
        <v>103</v>
      </c>
      <c r="B85">
        <v>20</v>
      </c>
      <c r="C85" t="s">
        <v>19</v>
      </c>
      <c r="D85" s="8">
        <v>170000</v>
      </c>
      <c r="E85">
        <v>5</v>
      </c>
      <c r="F85" s="7">
        <v>0.21</v>
      </c>
      <c r="G85" s="9">
        <f t="shared" si="3"/>
        <v>35805.642187542151</v>
      </c>
      <c r="H85" s="8">
        <f t="shared" si="4"/>
        <v>9028.2109377107699</v>
      </c>
      <c r="I85" s="8">
        <f t="shared" si="5"/>
        <v>179028.21093771077</v>
      </c>
    </row>
    <row r="86" spans="1:9" x14ac:dyDescent="0.25">
      <c r="A86" s="4" t="s">
        <v>104</v>
      </c>
      <c r="B86">
        <v>19</v>
      </c>
      <c r="C86" t="s">
        <v>27</v>
      </c>
      <c r="D86" s="8">
        <v>100000</v>
      </c>
      <c r="E86">
        <v>8</v>
      </c>
      <c r="F86" s="7">
        <v>0.27</v>
      </c>
      <c r="G86" s="9">
        <f t="shared" si="3"/>
        <v>13798.461806673033</v>
      </c>
      <c r="H86" s="8">
        <f t="shared" si="4"/>
        <v>10387.694453384262</v>
      </c>
      <c r="I86" s="8">
        <f t="shared" si="5"/>
        <v>110387.69445338426</v>
      </c>
    </row>
    <row r="87" spans="1:9" x14ac:dyDescent="0.25">
      <c r="A87" s="4" t="s">
        <v>105</v>
      </c>
      <c r="B87">
        <v>20</v>
      </c>
      <c r="C87" t="s">
        <v>17</v>
      </c>
      <c r="D87" s="8">
        <v>200000</v>
      </c>
      <c r="E87">
        <v>8</v>
      </c>
      <c r="F87" s="7">
        <v>0.28000000000000003</v>
      </c>
      <c r="G87" s="9">
        <f t="shared" si="3"/>
        <v>27695.59672012589</v>
      </c>
      <c r="H87" s="8">
        <f t="shared" si="4"/>
        <v>21564.77376100712</v>
      </c>
      <c r="I87" s="8">
        <f t="shared" si="5"/>
        <v>221564.77376100712</v>
      </c>
    </row>
    <row r="88" spans="1:9" x14ac:dyDescent="0.25">
      <c r="A88" s="4" t="s">
        <v>106</v>
      </c>
      <c r="B88">
        <v>21</v>
      </c>
      <c r="C88" t="s">
        <v>50</v>
      </c>
      <c r="D88" s="8">
        <v>150000</v>
      </c>
      <c r="E88">
        <v>6</v>
      </c>
      <c r="F88" s="7">
        <v>0.21</v>
      </c>
      <c r="G88" s="9">
        <f t="shared" si="3"/>
        <v>26553.38347766842</v>
      </c>
      <c r="H88" s="8">
        <f t="shared" si="4"/>
        <v>9320.3008660105115</v>
      </c>
      <c r="I88" s="8">
        <f t="shared" si="5"/>
        <v>159320.30086601051</v>
      </c>
    </row>
    <row r="89" spans="1:9" x14ac:dyDescent="0.25">
      <c r="A89" s="4" t="s">
        <v>107</v>
      </c>
      <c r="B89">
        <v>19</v>
      </c>
      <c r="C89" t="s">
        <v>23</v>
      </c>
      <c r="D89" s="8">
        <v>160000</v>
      </c>
      <c r="E89">
        <v>5</v>
      </c>
      <c r="F89" s="7">
        <v>0.22</v>
      </c>
      <c r="G89" s="9">
        <f t="shared" si="3"/>
        <v>33781.313255205627</v>
      </c>
      <c r="H89" s="8">
        <f t="shared" si="4"/>
        <v>8906.5662760281411</v>
      </c>
      <c r="I89" s="8">
        <f t="shared" si="5"/>
        <v>168906.56627602814</v>
      </c>
    </row>
    <row r="90" spans="1:9" x14ac:dyDescent="0.25">
      <c r="A90" s="4" t="s">
        <v>108</v>
      </c>
      <c r="B90">
        <v>20</v>
      </c>
      <c r="C90" t="s">
        <v>72</v>
      </c>
      <c r="D90" s="8">
        <v>180000</v>
      </c>
      <c r="E90">
        <v>9</v>
      </c>
      <c r="F90" s="7">
        <v>0.28000000000000003</v>
      </c>
      <c r="G90" s="9">
        <f t="shared" si="3"/>
        <v>22405.039839737343</v>
      </c>
      <c r="H90" s="8">
        <f t="shared" si="4"/>
        <v>21645.358557636093</v>
      </c>
      <c r="I90" s="8">
        <f t="shared" si="5"/>
        <v>201645.35855763609</v>
      </c>
    </row>
    <row r="91" spans="1:9" x14ac:dyDescent="0.25">
      <c r="A91" s="4" t="s">
        <v>109</v>
      </c>
      <c r="B91">
        <v>22</v>
      </c>
      <c r="C91" t="s">
        <v>72</v>
      </c>
      <c r="D91" s="8">
        <v>190000</v>
      </c>
      <c r="E91">
        <v>9</v>
      </c>
      <c r="F91" s="7">
        <v>0.25</v>
      </c>
      <c r="G91" s="9">
        <f t="shared" si="3"/>
        <v>23370.607871814413</v>
      </c>
      <c r="H91" s="8">
        <f t="shared" si="4"/>
        <v>20335.470846329699</v>
      </c>
      <c r="I91" s="8">
        <f t="shared" si="5"/>
        <v>210335.4708463297</v>
      </c>
    </row>
    <row r="92" spans="1:9" x14ac:dyDescent="0.25">
      <c r="A92" s="4" t="s">
        <v>110</v>
      </c>
      <c r="B92">
        <v>30</v>
      </c>
      <c r="C92" t="s">
        <v>36</v>
      </c>
      <c r="D92" s="8">
        <v>120000</v>
      </c>
      <c r="E92">
        <v>5</v>
      </c>
      <c r="F92" s="7">
        <v>0.22</v>
      </c>
      <c r="G92" s="9">
        <f t="shared" si="3"/>
        <v>25335.984941404222</v>
      </c>
      <c r="H92" s="8">
        <f t="shared" si="4"/>
        <v>6679.9247070211131</v>
      </c>
      <c r="I92" s="8">
        <f t="shared" si="5"/>
        <v>126679.92470702111</v>
      </c>
    </row>
    <row r="93" spans="1:9" x14ac:dyDescent="0.25">
      <c r="A93" s="4" t="s">
        <v>111</v>
      </c>
      <c r="B93">
        <v>29</v>
      </c>
      <c r="C93" t="s">
        <v>79</v>
      </c>
      <c r="D93" s="8">
        <v>130000</v>
      </c>
      <c r="E93">
        <v>8</v>
      </c>
      <c r="F93" s="7">
        <v>0.27</v>
      </c>
      <c r="G93" s="9">
        <f t="shared" si="3"/>
        <v>17938.000348674941</v>
      </c>
      <c r="H93" s="8">
        <f t="shared" si="4"/>
        <v>13504.002789399528</v>
      </c>
      <c r="I93" s="8">
        <f t="shared" si="5"/>
        <v>143504.00278939953</v>
      </c>
    </row>
    <row r="94" spans="1:9" x14ac:dyDescent="0.25">
      <c r="A94" s="4" t="s">
        <v>112</v>
      </c>
      <c r="B94">
        <v>24</v>
      </c>
      <c r="C94" t="s">
        <v>21</v>
      </c>
      <c r="D94" s="8">
        <v>160000</v>
      </c>
      <c r="E94">
        <v>9</v>
      </c>
      <c r="F94" s="7">
        <v>0.28000000000000003</v>
      </c>
      <c r="G94" s="9">
        <f t="shared" si="3"/>
        <v>19915.590968655415</v>
      </c>
      <c r="H94" s="8">
        <f t="shared" si="4"/>
        <v>19240.318717898743</v>
      </c>
      <c r="I94" s="8">
        <f t="shared" si="5"/>
        <v>179240.31871789874</v>
      </c>
    </row>
    <row r="95" spans="1:9" x14ac:dyDescent="0.25">
      <c r="A95" s="4" t="s">
        <v>67</v>
      </c>
      <c r="B95">
        <v>27</v>
      </c>
      <c r="C95" t="s">
        <v>36</v>
      </c>
      <c r="D95" s="8">
        <v>140000</v>
      </c>
      <c r="E95">
        <v>8</v>
      </c>
      <c r="F95" s="7">
        <v>0.25</v>
      </c>
      <c r="G95" s="9">
        <f t="shared" si="3"/>
        <v>19180.073438473082</v>
      </c>
      <c r="H95" s="8">
        <f t="shared" si="4"/>
        <v>13440.587507784658</v>
      </c>
      <c r="I95" s="8">
        <f t="shared" si="5"/>
        <v>153440.58750778466</v>
      </c>
    </row>
    <row r="96" spans="1:9" x14ac:dyDescent="0.25">
      <c r="A96" s="4" t="s">
        <v>51</v>
      </c>
      <c r="B96">
        <v>27</v>
      </c>
      <c r="C96" t="s">
        <v>72</v>
      </c>
      <c r="D96" s="8">
        <v>150000</v>
      </c>
      <c r="E96">
        <v>7</v>
      </c>
      <c r="F96" s="7">
        <v>0.25</v>
      </c>
      <c r="G96" s="9">
        <f t="shared" si="3"/>
        <v>23251.092831246879</v>
      </c>
      <c r="H96" s="8">
        <f t="shared" si="4"/>
        <v>12757.649818728154</v>
      </c>
      <c r="I96" s="8">
        <f t="shared" si="5"/>
        <v>162757.64981872815</v>
      </c>
    </row>
    <row r="97" spans="1:9" x14ac:dyDescent="0.25">
      <c r="A97" s="4" t="s">
        <v>113</v>
      </c>
      <c r="B97">
        <v>26</v>
      </c>
      <c r="C97" t="s">
        <v>15</v>
      </c>
      <c r="D97" s="8">
        <v>170000</v>
      </c>
      <c r="E97">
        <v>6</v>
      </c>
      <c r="F97" s="7">
        <v>0.21</v>
      </c>
      <c r="G97" s="9">
        <f t="shared" si="3"/>
        <v>30093.834608024212</v>
      </c>
      <c r="H97" s="8">
        <f t="shared" si="4"/>
        <v>10563.007648145256</v>
      </c>
      <c r="I97" s="8">
        <f t="shared" si="5"/>
        <v>180563.00764814526</v>
      </c>
    </row>
    <row r="98" spans="1:9" x14ac:dyDescent="0.25">
      <c r="A98" s="4" t="s">
        <v>114</v>
      </c>
      <c r="B98">
        <v>25</v>
      </c>
      <c r="C98" t="s">
        <v>62</v>
      </c>
      <c r="D98" s="8">
        <v>110000</v>
      </c>
      <c r="E98">
        <v>6</v>
      </c>
      <c r="F98" s="7">
        <v>0.21</v>
      </c>
      <c r="G98" s="9">
        <f t="shared" si="3"/>
        <v>19472.481216956843</v>
      </c>
      <c r="H98" s="8">
        <f t="shared" si="4"/>
        <v>6834.8873017410515</v>
      </c>
      <c r="I98" s="8">
        <f t="shared" si="5"/>
        <v>116834.88730174105</v>
      </c>
    </row>
    <row r="99" spans="1:9" x14ac:dyDescent="0.25">
      <c r="A99" s="4" t="s">
        <v>77</v>
      </c>
      <c r="B99">
        <v>29</v>
      </c>
      <c r="C99" t="s">
        <v>33</v>
      </c>
      <c r="D99" s="8">
        <v>200000</v>
      </c>
      <c r="E99">
        <v>5</v>
      </c>
      <c r="F99" s="7">
        <v>0.23</v>
      </c>
      <c r="G99" s="9">
        <f t="shared" si="3"/>
        <v>42329.106247319251</v>
      </c>
      <c r="H99" s="8">
        <f t="shared" si="4"/>
        <v>11645.53123659626</v>
      </c>
      <c r="I99" s="8">
        <f t="shared" si="5"/>
        <v>211645.53123659626</v>
      </c>
    </row>
    <row r="100" spans="1:9" x14ac:dyDescent="0.25">
      <c r="A100" s="4" t="s">
        <v>29</v>
      </c>
      <c r="B100">
        <v>21</v>
      </c>
      <c r="C100" t="s">
        <v>19</v>
      </c>
      <c r="D100" s="8">
        <v>150000</v>
      </c>
      <c r="E100">
        <v>9</v>
      </c>
      <c r="F100" s="7">
        <v>0.27</v>
      </c>
      <c r="G100" s="9">
        <f t="shared" si="3"/>
        <v>18597.255586756768</v>
      </c>
      <c r="H100" s="8">
        <f t="shared" si="4"/>
        <v>17375.300280810916</v>
      </c>
      <c r="I100" s="8">
        <f t="shared" si="5"/>
        <v>167375.30028081092</v>
      </c>
    </row>
    <row r="101" spans="1:9" x14ac:dyDescent="0.25">
      <c r="A101" s="4" t="s">
        <v>115</v>
      </c>
      <c r="B101">
        <v>23</v>
      </c>
      <c r="C101" t="s">
        <v>23</v>
      </c>
      <c r="D101" s="8">
        <v>150000</v>
      </c>
      <c r="E101">
        <v>7</v>
      </c>
      <c r="F101" s="7">
        <v>0.23</v>
      </c>
      <c r="G101" s="9">
        <f t="shared" si="3"/>
        <v>23102.609342417276</v>
      </c>
      <c r="H101" s="8">
        <f t="shared" si="4"/>
        <v>11718.265396920935</v>
      </c>
      <c r="I101" s="8">
        <f t="shared" si="5"/>
        <v>161718.26539692094</v>
      </c>
    </row>
    <row r="102" spans="1:9" x14ac:dyDescent="0.25">
      <c r="A102" s="4" t="s">
        <v>116</v>
      </c>
      <c r="B102">
        <v>26</v>
      </c>
      <c r="C102" t="s">
        <v>72</v>
      </c>
      <c r="D102" s="8">
        <v>130000</v>
      </c>
      <c r="E102">
        <v>6</v>
      </c>
      <c r="F102" s="7">
        <v>0.21</v>
      </c>
      <c r="G102" s="9">
        <f t="shared" si="3"/>
        <v>23012.932347312631</v>
      </c>
      <c r="H102" s="8">
        <f t="shared" si="4"/>
        <v>8077.5940838757961</v>
      </c>
      <c r="I102" s="8">
        <f t="shared" si="5"/>
        <v>138077.5940838758</v>
      </c>
    </row>
    <row r="103" spans="1:9" x14ac:dyDescent="0.25">
      <c r="A103" s="4" t="s">
        <v>117</v>
      </c>
      <c r="B103">
        <v>30</v>
      </c>
      <c r="C103" t="s">
        <v>62</v>
      </c>
      <c r="D103" s="8">
        <v>110000</v>
      </c>
      <c r="E103">
        <v>9</v>
      </c>
      <c r="F103" s="7">
        <v>0.28000000000000003</v>
      </c>
      <c r="G103" s="9">
        <f t="shared" si="3"/>
        <v>13691.968790950599</v>
      </c>
      <c r="H103" s="8">
        <f t="shared" si="4"/>
        <v>13227.719118555397</v>
      </c>
      <c r="I103" s="8">
        <f t="shared" si="5"/>
        <v>123227.7191185554</v>
      </c>
    </row>
    <row r="104" spans="1:9" x14ac:dyDescent="0.25">
      <c r="A104" s="4" t="s">
        <v>118</v>
      </c>
      <c r="B104">
        <v>19</v>
      </c>
      <c r="C104" t="s">
        <v>36</v>
      </c>
      <c r="D104" s="8">
        <v>120000</v>
      </c>
      <c r="E104">
        <v>6</v>
      </c>
      <c r="F104" s="7">
        <v>0.23</v>
      </c>
      <c r="G104" s="9">
        <f t="shared" si="3"/>
        <v>21362.888570074163</v>
      </c>
      <c r="H104" s="8">
        <f t="shared" si="4"/>
        <v>8177.3314204449707</v>
      </c>
      <c r="I104" s="8">
        <f t="shared" si="5"/>
        <v>128177.33142044497</v>
      </c>
    </row>
    <row r="105" spans="1:9" x14ac:dyDescent="0.25">
      <c r="A105" s="4" t="s">
        <v>119</v>
      </c>
      <c r="B105">
        <v>27</v>
      </c>
      <c r="C105" t="s">
        <v>79</v>
      </c>
      <c r="D105" s="8">
        <v>190000</v>
      </c>
      <c r="E105">
        <v>6</v>
      </c>
      <c r="F105" s="7">
        <v>0.21</v>
      </c>
      <c r="G105" s="9">
        <f t="shared" si="3"/>
        <v>33634.28573838</v>
      </c>
      <c r="H105" s="8">
        <f t="shared" si="4"/>
        <v>11805.714430280001</v>
      </c>
      <c r="I105" s="8">
        <f t="shared" si="5"/>
        <v>201805.71443028</v>
      </c>
    </row>
    <row r="106" spans="1:9" x14ac:dyDescent="0.25">
      <c r="A106" s="4" t="s">
        <v>120</v>
      </c>
      <c r="B106">
        <v>29</v>
      </c>
      <c r="C106" t="s">
        <v>72</v>
      </c>
      <c r="D106" s="8">
        <v>150000</v>
      </c>
      <c r="E106">
        <v>6</v>
      </c>
      <c r="F106" s="7">
        <v>0.22</v>
      </c>
      <c r="G106" s="9">
        <f t="shared" si="3"/>
        <v>26628.447877927887</v>
      </c>
      <c r="H106" s="8">
        <f t="shared" si="4"/>
        <v>9770.6872675673221</v>
      </c>
      <c r="I106" s="8">
        <f t="shared" si="5"/>
        <v>159770.68726756732</v>
      </c>
    </row>
    <row r="107" spans="1:9" x14ac:dyDescent="0.25">
      <c r="A107" s="4" t="s">
        <v>121</v>
      </c>
      <c r="B107">
        <v>22</v>
      </c>
      <c r="C107" t="s">
        <v>45</v>
      </c>
      <c r="D107" s="8">
        <v>150000</v>
      </c>
      <c r="E107">
        <v>7</v>
      </c>
      <c r="F107" s="7">
        <v>0.23</v>
      </c>
      <c r="G107" s="9">
        <f t="shared" si="3"/>
        <v>23102.609342417276</v>
      </c>
      <c r="H107" s="8">
        <f t="shared" si="4"/>
        <v>11718.265396920935</v>
      </c>
      <c r="I107" s="8">
        <f t="shared" si="5"/>
        <v>161718.26539692094</v>
      </c>
    </row>
    <row r="108" spans="1:9" x14ac:dyDescent="0.25">
      <c r="A108" s="4" t="s">
        <v>63</v>
      </c>
      <c r="B108">
        <v>27</v>
      </c>
      <c r="C108" t="s">
        <v>33</v>
      </c>
      <c r="D108" s="8">
        <v>150000</v>
      </c>
      <c r="E108">
        <v>8</v>
      </c>
      <c r="F108" s="7">
        <v>0.25</v>
      </c>
      <c r="G108" s="9">
        <f t="shared" si="3"/>
        <v>20550.078684078304</v>
      </c>
      <c r="H108" s="8">
        <f t="shared" si="4"/>
        <v>14400.629472626431</v>
      </c>
      <c r="I108" s="8">
        <f t="shared" si="5"/>
        <v>164400.62947262643</v>
      </c>
    </row>
    <row r="109" spans="1:9" x14ac:dyDescent="0.25">
      <c r="A109" s="4" t="s">
        <v>122</v>
      </c>
      <c r="B109">
        <v>26</v>
      </c>
      <c r="C109" t="s">
        <v>19</v>
      </c>
      <c r="D109" s="8">
        <v>150000</v>
      </c>
      <c r="E109">
        <v>5</v>
      </c>
      <c r="F109" s="7">
        <v>0.21</v>
      </c>
      <c r="G109" s="9">
        <f t="shared" si="3"/>
        <v>31593.213694890128</v>
      </c>
      <c r="H109" s="8">
        <f t="shared" si="4"/>
        <v>7966.0684744506434</v>
      </c>
      <c r="I109" s="8">
        <f t="shared" si="5"/>
        <v>157966.06847445064</v>
      </c>
    </row>
    <row r="110" spans="1:9" x14ac:dyDescent="0.25">
      <c r="A110" s="4" t="s">
        <v>123</v>
      </c>
      <c r="B110">
        <v>29</v>
      </c>
      <c r="C110" t="s">
        <v>23</v>
      </c>
      <c r="D110" s="8">
        <v>100000</v>
      </c>
      <c r="E110">
        <v>9</v>
      </c>
      <c r="F110" s="7">
        <v>0.25</v>
      </c>
      <c r="G110" s="9">
        <f t="shared" si="3"/>
        <v>12300.319932533901</v>
      </c>
      <c r="H110" s="8">
        <f t="shared" si="4"/>
        <v>10702.879392805102</v>
      </c>
      <c r="I110" s="8">
        <f t="shared" si="5"/>
        <v>110702.8793928051</v>
      </c>
    </row>
    <row r="111" spans="1:9" x14ac:dyDescent="0.25">
      <c r="A111" s="4" t="s">
        <v>88</v>
      </c>
      <c r="B111">
        <v>22</v>
      </c>
      <c r="C111" t="s">
        <v>21</v>
      </c>
      <c r="D111" s="8">
        <v>160000</v>
      </c>
      <c r="E111">
        <v>7</v>
      </c>
      <c r="F111" s="7">
        <v>0.23</v>
      </c>
      <c r="G111" s="9">
        <f t="shared" si="3"/>
        <v>24642.78329857843</v>
      </c>
      <c r="H111" s="8">
        <f t="shared" si="4"/>
        <v>12499.483090049005</v>
      </c>
      <c r="I111" s="8">
        <f t="shared" si="5"/>
        <v>172499.48309004901</v>
      </c>
    </row>
    <row r="112" spans="1:9" x14ac:dyDescent="0.25">
      <c r="A112" s="4" t="s">
        <v>124</v>
      </c>
      <c r="B112">
        <v>22</v>
      </c>
      <c r="C112" t="s">
        <v>27</v>
      </c>
      <c r="D112" s="8">
        <v>130000</v>
      </c>
      <c r="E112">
        <v>8</v>
      </c>
      <c r="F112" s="7">
        <v>0.25</v>
      </c>
      <c r="G112" s="9">
        <f t="shared" si="3"/>
        <v>17810.06819286786</v>
      </c>
      <c r="H112" s="8">
        <f t="shared" si="4"/>
        <v>12480.545542942884</v>
      </c>
      <c r="I112" s="8">
        <f t="shared" si="5"/>
        <v>142480.54554294288</v>
      </c>
    </row>
    <row r="113" spans="1:9" x14ac:dyDescent="0.25">
      <c r="A113" s="4" t="s">
        <v>125</v>
      </c>
      <c r="B113">
        <v>18</v>
      </c>
      <c r="C113" t="s">
        <v>17</v>
      </c>
      <c r="D113" s="8">
        <v>120000</v>
      </c>
      <c r="E113">
        <v>7</v>
      </c>
      <c r="F113" s="7">
        <v>0.23</v>
      </c>
      <c r="G113" s="9">
        <f t="shared" si="3"/>
        <v>18482.087473933821</v>
      </c>
      <c r="H113" s="8">
        <f t="shared" si="4"/>
        <v>9374.6123175367538</v>
      </c>
      <c r="I113" s="8">
        <f t="shared" si="5"/>
        <v>129374.61231753675</v>
      </c>
    </row>
    <row r="114" spans="1:9" x14ac:dyDescent="0.25">
      <c r="A114" s="4" t="s">
        <v>126</v>
      </c>
      <c r="B114">
        <v>25</v>
      </c>
      <c r="C114" t="s">
        <v>50</v>
      </c>
      <c r="D114" s="8">
        <v>150000</v>
      </c>
      <c r="E114">
        <v>7</v>
      </c>
      <c r="F114" s="7">
        <v>0.25</v>
      </c>
      <c r="G114" s="9">
        <f t="shared" si="3"/>
        <v>23251.092831246879</v>
      </c>
      <c r="H114" s="8">
        <f t="shared" si="4"/>
        <v>12757.649818728154</v>
      </c>
      <c r="I114" s="8">
        <f t="shared" si="5"/>
        <v>162757.64981872815</v>
      </c>
    </row>
    <row r="115" spans="1:9" x14ac:dyDescent="0.25">
      <c r="A115" s="4" t="s">
        <v>127</v>
      </c>
      <c r="B115">
        <v>26</v>
      </c>
      <c r="C115" t="s">
        <v>25</v>
      </c>
      <c r="D115" s="8">
        <v>150000</v>
      </c>
      <c r="E115">
        <v>7</v>
      </c>
      <c r="F115" s="7">
        <v>0.24</v>
      </c>
      <c r="G115" s="9">
        <f t="shared" si="3"/>
        <v>23176.79341546493</v>
      </c>
      <c r="H115" s="8">
        <f t="shared" si="4"/>
        <v>12237.553908254515</v>
      </c>
      <c r="I115" s="8">
        <f t="shared" si="5"/>
        <v>162237.55390825451</v>
      </c>
    </row>
    <row r="116" spans="1:9" x14ac:dyDescent="0.25">
      <c r="A116" s="4" t="s">
        <v>128</v>
      </c>
      <c r="B116">
        <v>30</v>
      </c>
      <c r="C116" t="s">
        <v>31</v>
      </c>
      <c r="D116" s="8">
        <v>180000</v>
      </c>
      <c r="E116">
        <v>6</v>
      </c>
      <c r="F116" s="7">
        <v>0.22</v>
      </c>
      <c r="G116" s="9">
        <f t="shared" si="3"/>
        <v>31954.137453513467</v>
      </c>
      <c r="H116" s="8">
        <f t="shared" si="4"/>
        <v>11724.824721080804</v>
      </c>
      <c r="I116" s="8">
        <f t="shared" si="5"/>
        <v>191724.8247210808</v>
      </c>
    </row>
    <row r="117" spans="1:9" x14ac:dyDescent="0.25">
      <c r="A117" s="4" t="s">
        <v>61</v>
      </c>
      <c r="B117">
        <v>29</v>
      </c>
      <c r="C117" t="s">
        <v>21</v>
      </c>
      <c r="D117" s="8">
        <v>150000</v>
      </c>
      <c r="E117">
        <v>9</v>
      </c>
      <c r="F117" s="7">
        <v>0.27</v>
      </c>
      <c r="G117" s="9">
        <f t="shared" si="3"/>
        <v>18597.255586756768</v>
      </c>
      <c r="H117" s="8">
        <f t="shared" si="4"/>
        <v>17375.300280810916</v>
      </c>
      <c r="I117" s="8">
        <f t="shared" si="5"/>
        <v>167375.30028081092</v>
      </c>
    </row>
    <row r="118" spans="1:9" x14ac:dyDescent="0.25">
      <c r="A118" s="4" t="s">
        <v>129</v>
      </c>
      <c r="B118">
        <v>18</v>
      </c>
      <c r="C118" t="s">
        <v>23</v>
      </c>
      <c r="D118" s="8">
        <v>150000</v>
      </c>
      <c r="E118">
        <v>9</v>
      </c>
      <c r="F118" s="7">
        <v>0.26</v>
      </c>
      <c r="G118" s="9">
        <f t="shared" si="3"/>
        <v>18523.793300417317</v>
      </c>
      <c r="H118" s="8">
        <f t="shared" si="4"/>
        <v>16714.139703755849</v>
      </c>
      <c r="I118" s="8">
        <f t="shared" si="5"/>
        <v>166714.13970375585</v>
      </c>
    </row>
    <row r="119" spans="1:9" x14ac:dyDescent="0.25">
      <c r="A119" s="4" t="s">
        <v>130</v>
      </c>
      <c r="B119">
        <v>30</v>
      </c>
      <c r="C119" t="s">
        <v>62</v>
      </c>
      <c r="D119" s="8">
        <v>190000</v>
      </c>
      <c r="E119">
        <v>6</v>
      </c>
      <c r="F119" s="7">
        <v>0.22</v>
      </c>
      <c r="G119" s="9">
        <f t="shared" si="3"/>
        <v>33729.367312041992</v>
      </c>
      <c r="H119" s="8">
        <f t="shared" si="4"/>
        <v>12376.203872251965</v>
      </c>
      <c r="I119" s="8">
        <f t="shared" si="5"/>
        <v>202376.20387225196</v>
      </c>
    </row>
    <row r="120" spans="1:9" x14ac:dyDescent="0.25">
      <c r="A120" s="4" t="s">
        <v>131</v>
      </c>
      <c r="B120">
        <v>27</v>
      </c>
      <c r="C120" t="s">
        <v>45</v>
      </c>
      <c r="D120" s="8">
        <v>190000</v>
      </c>
      <c r="E120">
        <v>8</v>
      </c>
      <c r="F120" s="7">
        <v>0.27</v>
      </c>
      <c r="G120" s="9">
        <f t="shared" si="3"/>
        <v>26217.077432678765</v>
      </c>
      <c r="H120" s="8">
        <f t="shared" si="4"/>
        <v>19736.61946143012</v>
      </c>
      <c r="I120" s="8">
        <f t="shared" si="5"/>
        <v>209736.61946143012</v>
      </c>
    </row>
    <row r="121" spans="1:9" x14ac:dyDescent="0.25">
      <c r="A121" s="4" t="s">
        <v>128</v>
      </c>
      <c r="B121">
        <v>24</v>
      </c>
      <c r="C121" t="s">
        <v>17</v>
      </c>
      <c r="D121" s="8">
        <v>180000</v>
      </c>
      <c r="E121">
        <v>9</v>
      </c>
      <c r="F121" s="7">
        <v>0.28000000000000003</v>
      </c>
      <c r="G121" s="9">
        <f t="shared" si="3"/>
        <v>22405.039839737343</v>
      </c>
      <c r="H121" s="8">
        <f t="shared" si="4"/>
        <v>21645.358557636093</v>
      </c>
      <c r="I121" s="8">
        <f t="shared" si="5"/>
        <v>201645.35855763609</v>
      </c>
    </row>
    <row r="122" spans="1:9" x14ac:dyDescent="0.25">
      <c r="A122" s="4" t="s">
        <v>132</v>
      </c>
      <c r="B122">
        <v>26</v>
      </c>
      <c r="C122" t="s">
        <v>27</v>
      </c>
      <c r="D122" s="8">
        <v>180000</v>
      </c>
      <c r="E122">
        <v>6</v>
      </c>
      <c r="F122" s="7">
        <v>0.21</v>
      </c>
      <c r="G122" s="9">
        <f t="shared" si="3"/>
        <v>31864.060173202106</v>
      </c>
      <c r="H122" s="8">
        <f t="shared" si="4"/>
        <v>11184.361039212643</v>
      </c>
      <c r="I122" s="8">
        <f t="shared" si="5"/>
        <v>191184.36103921264</v>
      </c>
    </row>
    <row r="123" spans="1:9" x14ac:dyDescent="0.25">
      <c r="A123" s="4" t="s">
        <v>133</v>
      </c>
      <c r="B123">
        <v>26</v>
      </c>
      <c r="C123" t="s">
        <v>23</v>
      </c>
      <c r="D123" s="8">
        <v>160000</v>
      </c>
      <c r="E123">
        <v>9</v>
      </c>
      <c r="F123" s="7">
        <v>0.28000000000000003</v>
      </c>
      <c r="G123" s="9">
        <f t="shared" si="3"/>
        <v>19915.590968655415</v>
      </c>
      <c r="H123" s="8">
        <f t="shared" si="4"/>
        <v>19240.318717898743</v>
      </c>
      <c r="I123" s="8">
        <f t="shared" si="5"/>
        <v>179240.31871789874</v>
      </c>
    </row>
    <row r="124" spans="1:9" x14ac:dyDescent="0.25">
      <c r="A124" s="4" t="s">
        <v>132</v>
      </c>
      <c r="B124">
        <v>26</v>
      </c>
      <c r="C124" t="s">
        <v>36</v>
      </c>
      <c r="D124" s="8">
        <v>100000</v>
      </c>
      <c r="E124">
        <v>6</v>
      </c>
      <c r="F124" s="7">
        <v>0.23</v>
      </c>
      <c r="G124" s="9">
        <f t="shared" si="3"/>
        <v>17802.407141728469</v>
      </c>
      <c r="H124" s="8">
        <f t="shared" si="4"/>
        <v>6814.4428503708041</v>
      </c>
      <c r="I124" s="8">
        <f t="shared" si="5"/>
        <v>106814.4428503708</v>
      </c>
    </row>
    <row r="125" spans="1:9" x14ac:dyDescent="0.25">
      <c r="A125" s="4" t="s">
        <v>134</v>
      </c>
      <c r="B125">
        <v>27</v>
      </c>
      <c r="C125" t="s">
        <v>79</v>
      </c>
      <c r="D125" s="8">
        <v>160000</v>
      </c>
      <c r="E125">
        <v>7</v>
      </c>
      <c r="F125" s="7">
        <v>0.23</v>
      </c>
      <c r="G125" s="9">
        <f t="shared" si="3"/>
        <v>24642.78329857843</v>
      </c>
      <c r="H125" s="8">
        <f t="shared" si="4"/>
        <v>12499.483090049005</v>
      </c>
      <c r="I125" s="8">
        <f t="shared" si="5"/>
        <v>172499.48309004901</v>
      </c>
    </row>
    <row r="126" spans="1:9" x14ac:dyDescent="0.25">
      <c r="A126" s="4" t="s">
        <v>85</v>
      </c>
      <c r="B126">
        <v>22</v>
      </c>
      <c r="C126" t="s">
        <v>62</v>
      </c>
      <c r="D126" s="8">
        <v>190000</v>
      </c>
      <c r="E126">
        <v>8</v>
      </c>
      <c r="F126" s="7">
        <v>0.26</v>
      </c>
      <c r="G126" s="9">
        <f t="shared" si="3"/>
        <v>26123.504946051387</v>
      </c>
      <c r="H126" s="8">
        <f t="shared" si="4"/>
        <v>18988.039568411099</v>
      </c>
      <c r="I126" s="8">
        <f t="shared" si="5"/>
        <v>208988.0395684111</v>
      </c>
    </row>
    <row r="127" spans="1:9" x14ac:dyDescent="0.25">
      <c r="A127" s="4" t="s">
        <v>135</v>
      </c>
      <c r="B127">
        <v>19</v>
      </c>
      <c r="C127" t="s">
        <v>50</v>
      </c>
      <c r="D127" s="8">
        <v>140000</v>
      </c>
      <c r="E127">
        <v>8</v>
      </c>
      <c r="F127" s="7">
        <v>0.25</v>
      </c>
      <c r="G127" s="9">
        <f t="shared" si="3"/>
        <v>19180.073438473082</v>
      </c>
      <c r="H127" s="8">
        <f t="shared" si="4"/>
        <v>13440.587507784658</v>
      </c>
      <c r="I127" s="8">
        <f t="shared" si="5"/>
        <v>153440.58750778466</v>
      </c>
    </row>
    <row r="128" spans="1:9" x14ac:dyDescent="0.25">
      <c r="A128" s="4" t="s">
        <v>121</v>
      </c>
      <c r="B128">
        <v>18</v>
      </c>
      <c r="C128" t="s">
        <v>50</v>
      </c>
      <c r="D128" s="8">
        <v>200000</v>
      </c>
      <c r="E128">
        <v>8</v>
      </c>
      <c r="F128" s="7">
        <v>0.26</v>
      </c>
      <c r="G128" s="9">
        <f t="shared" si="3"/>
        <v>27498.426259001459</v>
      </c>
      <c r="H128" s="8">
        <f t="shared" si="4"/>
        <v>19987.410072011669</v>
      </c>
      <c r="I128" s="8">
        <f t="shared" si="5"/>
        <v>219987.41007201167</v>
      </c>
    </row>
    <row r="129" spans="1:9" x14ac:dyDescent="0.25">
      <c r="A129" s="4" t="s">
        <v>136</v>
      </c>
      <c r="B129">
        <v>22</v>
      </c>
      <c r="C129" t="s">
        <v>36</v>
      </c>
      <c r="D129" s="8">
        <v>200000</v>
      </c>
      <c r="E129">
        <v>5</v>
      </c>
      <c r="F129" s="7">
        <v>0.23</v>
      </c>
      <c r="G129" s="9">
        <f t="shared" si="3"/>
        <v>42329.106247319251</v>
      </c>
      <c r="H129" s="8">
        <f t="shared" si="4"/>
        <v>11645.53123659626</v>
      </c>
      <c r="I129" s="8">
        <f t="shared" si="5"/>
        <v>211645.53123659626</v>
      </c>
    </row>
    <row r="130" spans="1:9" x14ac:dyDescent="0.25">
      <c r="A130" s="4" t="s">
        <v>137</v>
      </c>
      <c r="B130">
        <v>21</v>
      </c>
      <c r="C130" t="s">
        <v>62</v>
      </c>
      <c r="D130" s="8">
        <v>100000</v>
      </c>
      <c r="E130">
        <v>9</v>
      </c>
      <c r="F130" s="7">
        <v>0.28000000000000003</v>
      </c>
      <c r="G130" s="9">
        <f t="shared" si="3"/>
        <v>12447.244355409635</v>
      </c>
      <c r="H130" s="8">
        <f t="shared" si="4"/>
        <v>12025.199198686722</v>
      </c>
      <c r="I130" s="8">
        <f t="shared" si="5"/>
        <v>112025.19919868672</v>
      </c>
    </row>
    <row r="131" spans="1:9" x14ac:dyDescent="0.25">
      <c r="A131" s="4" t="s">
        <v>138</v>
      </c>
      <c r="B131">
        <v>18</v>
      </c>
      <c r="C131" t="s">
        <v>19</v>
      </c>
      <c r="D131" s="8">
        <v>110000</v>
      </c>
      <c r="E131">
        <v>6</v>
      </c>
      <c r="F131" s="7">
        <v>0.21</v>
      </c>
      <c r="G131" s="9">
        <f t="shared" si="3"/>
        <v>19472.481216956843</v>
      </c>
      <c r="H131" s="8">
        <f t="shared" si="4"/>
        <v>6834.8873017410515</v>
      </c>
      <c r="I131" s="8">
        <f t="shared" si="5"/>
        <v>116834.88730174105</v>
      </c>
    </row>
    <row r="132" spans="1:9" x14ac:dyDescent="0.25">
      <c r="A132" s="4" t="s">
        <v>139</v>
      </c>
      <c r="B132">
        <v>20</v>
      </c>
      <c r="C132" t="s">
        <v>50</v>
      </c>
      <c r="D132" s="8">
        <v>200000</v>
      </c>
      <c r="E132">
        <v>9</v>
      </c>
      <c r="F132" s="7">
        <v>0.25</v>
      </c>
      <c r="G132" s="9">
        <f t="shared" si="3"/>
        <v>24600.639865067802</v>
      </c>
      <c r="H132" s="8">
        <f t="shared" si="4"/>
        <v>21405.758785610204</v>
      </c>
      <c r="I132" s="8">
        <f t="shared" si="5"/>
        <v>221405.7587856102</v>
      </c>
    </row>
    <row r="133" spans="1:9" x14ac:dyDescent="0.25">
      <c r="A133" s="4" t="s">
        <v>140</v>
      </c>
      <c r="B133">
        <v>24</v>
      </c>
      <c r="C133" t="s">
        <v>27</v>
      </c>
      <c r="D133" s="8">
        <v>180000</v>
      </c>
      <c r="E133">
        <v>5</v>
      </c>
      <c r="F133" s="7">
        <v>0.22</v>
      </c>
      <c r="G133" s="9">
        <f t="shared" si="3"/>
        <v>38003.977412106331</v>
      </c>
      <c r="H133" s="8">
        <f t="shared" si="4"/>
        <v>10019.887060531648</v>
      </c>
      <c r="I133" s="8">
        <f t="shared" si="5"/>
        <v>190019.88706053165</v>
      </c>
    </row>
    <row r="134" spans="1:9" x14ac:dyDescent="0.25">
      <c r="A134" s="4" t="s">
        <v>141</v>
      </c>
      <c r="B134">
        <v>22</v>
      </c>
      <c r="C134" t="s">
        <v>79</v>
      </c>
      <c r="D134" s="8">
        <v>100000</v>
      </c>
      <c r="E134">
        <v>8</v>
      </c>
      <c r="F134" s="7">
        <v>0.28000000000000003</v>
      </c>
      <c r="G134" s="9">
        <f t="shared" ref="G134:G197" si="6">PMT(F134/12,E134,-D134)</f>
        <v>13847.798360062945</v>
      </c>
      <c r="H134" s="8">
        <f t="shared" ref="H134:H197" si="7">I134-D134</f>
        <v>10782.38688050356</v>
      </c>
      <c r="I134" s="8">
        <f t="shared" ref="I134:I197" si="8">PRODUCT(G134,E134)</f>
        <v>110782.38688050356</v>
      </c>
    </row>
    <row r="135" spans="1:9" x14ac:dyDescent="0.25">
      <c r="A135" s="4" t="s">
        <v>142</v>
      </c>
      <c r="B135">
        <v>23</v>
      </c>
      <c r="C135" t="s">
        <v>72</v>
      </c>
      <c r="D135" s="8">
        <v>180000</v>
      </c>
      <c r="E135">
        <v>7</v>
      </c>
      <c r="F135" s="7">
        <v>0.23</v>
      </c>
      <c r="G135" s="9">
        <f t="shared" si="6"/>
        <v>27723.13121090073</v>
      </c>
      <c r="H135" s="8">
        <f t="shared" si="7"/>
        <v>14061.918476305116</v>
      </c>
      <c r="I135" s="8">
        <f t="shared" si="8"/>
        <v>194061.91847630512</v>
      </c>
    </row>
    <row r="136" spans="1:9" x14ac:dyDescent="0.25">
      <c r="A136" s="4" t="s">
        <v>143</v>
      </c>
      <c r="B136">
        <v>24</v>
      </c>
      <c r="C136" t="s">
        <v>15</v>
      </c>
      <c r="D136" s="8">
        <v>140000</v>
      </c>
      <c r="E136">
        <v>6</v>
      </c>
      <c r="F136" s="7">
        <v>0.22</v>
      </c>
      <c r="G136" s="9">
        <f t="shared" si="6"/>
        <v>24853.218019399363</v>
      </c>
      <c r="H136" s="8">
        <f t="shared" si="7"/>
        <v>9119.3081163961906</v>
      </c>
      <c r="I136" s="8">
        <f t="shared" si="8"/>
        <v>149119.30811639619</v>
      </c>
    </row>
    <row r="137" spans="1:9" x14ac:dyDescent="0.25">
      <c r="A137" s="4" t="s">
        <v>130</v>
      </c>
      <c r="B137">
        <v>23</v>
      </c>
      <c r="C137" t="s">
        <v>23</v>
      </c>
      <c r="D137" s="8">
        <v>200000</v>
      </c>
      <c r="E137">
        <v>6</v>
      </c>
      <c r="F137" s="7">
        <v>0.22</v>
      </c>
      <c r="G137" s="9">
        <f t="shared" si="6"/>
        <v>35504.597170570516</v>
      </c>
      <c r="H137" s="8">
        <f t="shared" si="7"/>
        <v>13027.583023423096</v>
      </c>
      <c r="I137" s="8">
        <f t="shared" si="8"/>
        <v>213027.5830234231</v>
      </c>
    </row>
    <row r="138" spans="1:9" x14ac:dyDescent="0.25">
      <c r="A138" s="4" t="s">
        <v>144</v>
      </c>
      <c r="B138">
        <v>26</v>
      </c>
      <c r="C138" t="s">
        <v>62</v>
      </c>
      <c r="D138" s="8">
        <v>200000</v>
      </c>
      <c r="E138">
        <v>7</v>
      </c>
      <c r="F138" s="7">
        <v>0.25</v>
      </c>
      <c r="G138" s="9">
        <f t="shared" si="6"/>
        <v>31001.45710832917</v>
      </c>
      <c r="H138" s="8">
        <f t="shared" si="7"/>
        <v>17010.199758304196</v>
      </c>
      <c r="I138" s="8">
        <f t="shared" si="8"/>
        <v>217010.1997583042</v>
      </c>
    </row>
    <row r="139" spans="1:9" x14ac:dyDescent="0.25">
      <c r="A139" s="4" t="s">
        <v>145</v>
      </c>
      <c r="B139">
        <v>27</v>
      </c>
      <c r="C139" t="s">
        <v>23</v>
      </c>
      <c r="D139" s="8">
        <v>130000</v>
      </c>
      <c r="E139">
        <v>9</v>
      </c>
      <c r="F139" s="7">
        <v>0.28000000000000003</v>
      </c>
      <c r="G139" s="9">
        <f t="shared" si="6"/>
        <v>16181.417662032525</v>
      </c>
      <c r="H139" s="8">
        <f t="shared" si="7"/>
        <v>15632.758958292718</v>
      </c>
      <c r="I139" s="8">
        <f t="shared" si="8"/>
        <v>145632.75895829272</v>
      </c>
    </row>
    <row r="140" spans="1:9" x14ac:dyDescent="0.25">
      <c r="A140" s="4" t="s">
        <v>146</v>
      </c>
      <c r="B140">
        <v>22</v>
      </c>
      <c r="C140" t="s">
        <v>31</v>
      </c>
      <c r="D140" s="8">
        <v>180000</v>
      </c>
      <c r="E140">
        <v>9</v>
      </c>
      <c r="F140" s="7">
        <v>0.27</v>
      </c>
      <c r="G140" s="9">
        <f t="shared" si="6"/>
        <v>22316.706704108125</v>
      </c>
      <c r="H140" s="8">
        <f t="shared" si="7"/>
        <v>20850.360336973128</v>
      </c>
      <c r="I140" s="8">
        <f t="shared" si="8"/>
        <v>200850.36033697313</v>
      </c>
    </row>
    <row r="141" spans="1:9" x14ac:dyDescent="0.25">
      <c r="A141" s="4" t="s">
        <v>147</v>
      </c>
      <c r="B141">
        <v>26</v>
      </c>
      <c r="C141" t="s">
        <v>31</v>
      </c>
      <c r="D141" s="8">
        <v>120000</v>
      </c>
      <c r="E141">
        <v>7</v>
      </c>
      <c r="F141" s="7">
        <v>0.24</v>
      </c>
      <c r="G141" s="9">
        <f t="shared" si="6"/>
        <v>18541.434732371945</v>
      </c>
      <c r="H141" s="8">
        <f t="shared" si="7"/>
        <v>9790.0431266036176</v>
      </c>
      <c r="I141" s="8">
        <f t="shared" si="8"/>
        <v>129790.04312660362</v>
      </c>
    </row>
    <row r="142" spans="1:9" x14ac:dyDescent="0.25">
      <c r="A142" s="4" t="s">
        <v>123</v>
      </c>
      <c r="B142">
        <v>23</v>
      </c>
      <c r="C142" t="s">
        <v>72</v>
      </c>
      <c r="D142" s="8">
        <v>120000</v>
      </c>
      <c r="E142">
        <v>5</v>
      </c>
      <c r="F142" s="7">
        <v>0.23</v>
      </c>
      <c r="G142" s="9">
        <f t="shared" si="6"/>
        <v>25397.46374839155</v>
      </c>
      <c r="H142" s="8">
        <f t="shared" si="7"/>
        <v>6987.3187419577444</v>
      </c>
      <c r="I142" s="8">
        <f t="shared" si="8"/>
        <v>126987.31874195774</v>
      </c>
    </row>
    <row r="143" spans="1:9" x14ac:dyDescent="0.25">
      <c r="A143" s="4" t="s">
        <v>148</v>
      </c>
      <c r="B143">
        <v>18</v>
      </c>
      <c r="C143" t="s">
        <v>50</v>
      </c>
      <c r="D143" s="8">
        <v>170000</v>
      </c>
      <c r="E143">
        <v>7</v>
      </c>
      <c r="F143" s="7">
        <v>0.23</v>
      </c>
      <c r="G143" s="9">
        <f t="shared" si="6"/>
        <v>26182.95725473958</v>
      </c>
      <c r="H143" s="8">
        <f t="shared" si="7"/>
        <v>13280.700783177046</v>
      </c>
      <c r="I143" s="8">
        <f t="shared" si="8"/>
        <v>183280.70078317705</v>
      </c>
    </row>
    <row r="144" spans="1:9" x14ac:dyDescent="0.25">
      <c r="A144" s="4" t="s">
        <v>58</v>
      </c>
      <c r="B144">
        <v>30</v>
      </c>
      <c r="C144" t="s">
        <v>62</v>
      </c>
      <c r="D144" s="8">
        <v>200000</v>
      </c>
      <c r="E144">
        <v>5</v>
      </c>
      <c r="F144" s="7">
        <v>0.22</v>
      </c>
      <c r="G144" s="9">
        <f t="shared" si="6"/>
        <v>42226.641569007035</v>
      </c>
      <c r="H144" s="8">
        <f t="shared" si="7"/>
        <v>11133.207845035184</v>
      </c>
      <c r="I144" s="8">
        <f t="shared" si="8"/>
        <v>211133.20784503518</v>
      </c>
    </row>
    <row r="145" spans="1:9" x14ac:dyDescent="0.25">
      <c r="A145" s="4" t="s">
        <v>149</v>
      </c>
      <c r="B145">
        <v>25</v>
      </c>
      <c r="C145" t="s">
        <v>72</v>
      </c>
      <c r="D145" s="8">
        <v>160000</v>
      </c>
      <c r="E145">
        <v>8</v>
      </c>
      <c r="F145" s="7">
        <v>0.27</v>
      </c>
      <c r="G145" s="9">
        <f t="shared" si="6"/>
        <v>22077.538890676853</v>
      </c>
      <c r="H145" s="8">
        <f t="shared" si="7"/>
        <v>16620.311125414824</v>
      </c>
      <c r="I145" s="8">
        <f t="shared" si="8"/>
        <v>176620.31112541482</v>
      </c>
    </row>
    <row r="146" spans="1:9" x14ac:dyDescent="0.25">
      <c r="A146" s="4" t="s">
        <v>127</v>
      </c>
      <c r="B146">
        <v>21</v>
      </c>
      <c r="C146" t="s">
        <v>15</v>
      </c>
      <c r="D146" s="8">
        <v>160000</v>
      </c>
      <c r="E146">
        <v>5</v>
      </c>
      <c r="F146" s="7">
        <v>0.22</v>
      </c>
      <c r="G146" s="9">
        <f t="shared" si="6"/>
        <v>33781.313255205627</v>
      </c>
      <c r="H146" s="8">
        <f t="shared" si="7"/>
        <v>8906.5662760281411</v>
      </c>
      <c r="I146" s="8">
        <f t="shared" si="8"/>
        <v>168906.56627602814</v>
      </c>
    </row>
    <row r="147" spans="1:9" x14ac:dyDescent="0.25">
      <c r="A147" s="4" t="s">
        <v>121</v>
      </c>
      <c r="B147">
        <v>27</v>
      </c>
      <c r="C147" t="s">
        <v>72</v>
      </c>
      <c r="D147" s="8">
        <v>140000</v>
      </c>
      <c r="E147">
        <v>7</v>
      </c>
      <c r="F147" s="7">
        <v>0.25</v>
      </c>
      <c r="G147" s="9">
        <f t="shared" si="6"/>
        <v>21701.019975830419</v>
      </c>
      <c r="H147" s="8">
        <f t="shared" si="7"/>
        <v>11907.139830812928</v>
      </c>
      <c r="I147" s="8">
        <f t="shared" si="8"/>
        <v>151907.13983081293</v>
      </c>
    </row>
    <row r="148" spans="1:9" x14ac:dyDescent="0.25">
      <c r="A148" s="4" t="s">
        <v>145</v>
      </c>
      <c r="B148">
        <v>21</v>
      </c>
      <c r="C148" t="s">
        <v>33</v>
      </c>
      <c r="D148" s="8">
        <v>130000</v>
      </c>
      <c r="E148">
        <v>7</v>
      </c>
      <c r="F148" s="7">
        <v>0.25</v>
      </c>
      <c r="G148" s="9">
        <f t="shared" si="6"/>
        <v>20150.947120413959</v>
      </c>
      <c r="H148" s="8">
        <f t="shared" si="7"/>
        <v>11056.629842897702</v>
      </c>
      <c r="I148" s="8">
        <f t="shared" si="8"/>
        <v>141056.6298428977</v>
      </c>
    </row>
    <row r="149" spans="1:9" x14ac:dyDescent="0.25">
      <c r="A149" s="4" t="s">
        <v>39</v>
      </c>
      <c r="B149">
        <v>21</v>
      </c>
      <c r="C149" t="s">
        <v>31</v>
      </c>
      <c r="D149" s="8">
        <v>120000</v>
      </c>
      <c r="E149">
        <v>6</v>
      </c>
      <c r="F149" s="7">
        <v>0.21</v>
      </c>
      <c r="G149" s="9">
        <f t="shared" si="6"/>
        <v>21242.706782134737</v>
      </c>
      <c r="H149" s="8">
        <f t="shared" si="7"/>
        <v>7456.2406928084238</v>
      </c>
      <c r="I149" s="8">
        <f t="shared" si="8"/>
        <v>127456.24069280842</v>
      </c>
    </row>
    <row r="150" spans="1:9" x14ac:dyDescent="0.25">
      <c r="A150" s="4" t="s">
        <v>150</v>
      </c>
      <c r="B150">
        <v>23</v>
      </c>
      <c r="C150" t="s">
        <v>72</v>
      </c>
      <c r="D150" s="8">
        <v>140000</v>
      </c>
      <c r="E150">
        <v>7</v>
      </c>
      <c r="F150" s="7">
        <v>0.24</v>
      </c>
      <c r="G150" s="9">
        <f t="shared" si="6"/>
        <v>21631.673854433935</v>
      </c>
      <c r="H150" s="8">
        <f t="shared" si="7"/>
        <v>11421.716981037549</v>
      </c>
      <c r="I150" s="8">
        <f t="shared" si="8"/>
        <v>151421.71698103755</v>
      </c>
    </row>
    <row r="151" spans="1:9" x14ac:dyDescent="0.25">
      <c r="A151" s="4" t="s">
        <v>151</v>
      </c>
      <c r="B151">
        <v>20</v>
      </c>
      <c r="C151" t="s">
        <v>33</v>
      </c>
      <c r="D151" s="8">
        <v>170000</v>
      </c>
      <c r="E151">
        <v>9</v>
      </c>
      <c r="F151" s="7">
        <v>0.27</v>
      </c>
      <c r="G151" s="9">
        <f t="shared" si="6"/>
        <v>21076.889664991006</v>
      </c>
      <c r="H151" s="8">
        <f t="shared" si="7"/>
        <v>19692.006984919048</v>
      </c>
      <c r="I151" s="8">
        <f t="shared" si="8"/>
        <v>189692.00698491905</v>
      </c>
    </row>
    <row r="152" spans="1:9" x14ac:dyDescent="0.25">
      <c r="A152" s="4" t="s">
        <v>26</v>
      </c>
      <c r="B152">
        <v>25</v>
      </c>
      <c r="C152" t="s">
        <v>17</v>
      </c>
      <c r="D152" s="8">
        <v>160000</v>
      </c>
      <c r="E152">
        <v>6</v>
      </c>
      <c r="F152" s="7">
        <v>0.22</v>
      </c>
      <c r="G152" s="9">
        <f t="shared" si="6"/>
        <v>28403.677736456419</v>
      </c>
      <c r="H152" s="8">
        <f t="shared" si="7"/>
        <v>10422.066418738512</v>
      </c>
      <c r="I152" s="8">
        <f t="shared" si="8"/>
        <v>170422.06641873851</v>
      </c>
    </row>
    <row r="153" spans="1:9" x14ac:dyDescent="0.25">
      <c r="A153" s="4" t="s">
        <v>140</v>
      </c>
      <c r="B153">
        <v>26</v>
      </c>
      <c r="C153" t="s">
        <v>25</v>
      </c>
      <c r="D153" s="8">
        <v>200000</v>
      </c>
      <c r="E153">
        <v>7</v>
      </c>
      <c r="F153" s="7">
        <v>0.23</v>
      </c>
      <c r="G153" s="9">
        <f t="shared" si="6"/>
        <v>30803.479123223035</v>
      </c>
      <c r="H153" s="8">
        <f t="shared" si="7"/>
        <v>15624.353862561227</v>
      </c>
      <c r="I153" s="8">
        <f t="shared" si="8"/>
        <v>215624.35386256123</v>
      </c>
    </row>
    <row r="154" spans="1:9" x14ac:dyDescent="0.25">
      <c r="A154" s="4" t="s">
        <v>152</v>
      </c>
      <c r="B154">
        <v>25</v>
      </c>
      <c r="C154" t="s">
        <v>79</v>
      </c>
      <c r="D154" s="8">
        <v>200000</v>
      </c>
      <c r="E154">
        <v>6</v>
      </c>
      <c r="F154" s="7">
        <v>0.21</v>
      </c>
      <c r="G154" s="9">
        <f t="shared" si="6"/>
        <v>35404.511303557891</v>
      </c>
      <c r="H154" s="8">
        <f t="shared" si="7"/>
        <v>12427.067821347329</v>
      </c>
      <c r="I154" s="8">
        <f t="shared" si="8"/>
        <v>212427.06782134733</v>
      </c>
    </row>
    <row r="155" spans="1:9" x14ac:dyDescent="0.25">
      <c r="A155" s="4" t="s">
        <v>61</v>
      </c>
      <c r="B155">
        <v>18</v>
      </c>
      <c r="C155" t="s">
        <v>19</v>
      </c>
      <c r="D155" s="8">
        <v>160000</v>
      </c>
      <c r="E155">
        <v>6</v>
      </c>
      <c r="F155" s="7">
        <v>0.23</v>
      </c>
      <c r="G155" s="9">
        <f t="shared" si="6"/>
        <v>28483.851426765552</v>
      </c>
      <c r="H155" s="8">
        <f t="shared" si="7"/>
        <v>10903.108560593304</v>
      </c>
      <c r="I155" s="8">
        <f t="shared" si="8"/>
        <v>170903.1085605933</v>
      </c>
    </row>
    <row r="156" spans="1:9" x14ac:dyDescent="0.25">
      <c r="A156" s="4" t="s">
        <v>29</v>
      </c>
      <c r="B156">
        <v>20</v>
      </c>
      <c r="C156" t="s">
        <v>33</v>
      </c>
      <c r="D156" s="8">
        <v>150000</v>
      </c>
      <c r="E156">
        <v>7</v>
      </c>
      <c r="F156" s="7">
        <v>0.24</v>
      </c>
      <c r="G156" s="9">
        <f t="shared" si="6"/>
        <v>23176.79341546493</v>
      </c>
      <c r="H156" s="8">
        <f t="shared" si="7"/>
        <v>12237.553908254515</v>
      </c>
      <c r="I156" s="8">
        <f t="shared" si="8"/>
        <v>162237.55390825451</v>
      </c>
    </row>
    <row r="157" spans="1:9" x14ac:dyDescent="0.25">
      <c r="A157" s="4" t="s">
        <v>153</v>
      </c>
      <c r="B157">
        <v>23</v>
      </c>
      <c r="C157" t="s">
        <v>72</v>
      </c>
      <c r="D157" s="8">
        <v>100000</v>
      </c>
      <c r="E157">
        <v>5</v>
      </c>
      <c r="F157" s="7">
        <v>0.23</v>
      </c>
      <c r="G157" s="9">
        <f t="shared" si="6"/>
        <v>21164.553123659625</v>
      </c>
      <c r="H157" s="8">
        <f t="shared" si="7"/>
        <v>5822.76561829813</v>
      </c>
      <c r="I157" s="8">
        <f t="shared" si="8"/>
        <v>105822.76561829813</v>
      </c>
    </row>
    <row r="158" spans="1:9" x14ac:dyDescent="0.25">
      <c r="A158" s="4" t="s">
        <v>154</v>
      </c>
      <c r="B158">
        <v>22</v>
      </c>
      <c r="C158" t="s">
        <v>15</v>
      </c>
      <c r="D158" s="8">
        <v>180000</v>
      </c>
      <c r="E158">
        <v>9</v>
      </c>
      <c r="F158" s="7">
        <v>0.25</v>
      </c>
      <c r="G158" s="9">
        <f t="shared" si="6"/>
        <v>22140.575878561023</v>
      </c>
      <c r="H158" s="8">
        <f t="shared" si="7"/>
        <v>19265.182907049195</v>
      </c>
      <c r="I158" s="8">
        <f t="shared" si="8"/>
        <v>199265.18290704919</v>
      </c>
    </row>
    <row r="159" spans="1:9" x14ac:dyDescent="0.25">
      <c r="A159" s="4" t="s">
        <v>155</v>
      </c>
      <c r="B159">
        <v>21</v>
      </c>
      <c r="C159" t="s">
        <v>31</v>
      </c>
      <c r="D159" s="8">
        <v>120000</v>
      </c>
      <c r="E159">
        <v>7</v>
      </c>
      <c r="F159" s="7">
        <v>0.25</v>
      </c>
      <c r="G159" s="9">
        <f t="shared" si="6"/>
        <v>18600.874264997503</v>
      </c>
      <c r="H159" s="8">
        <f t="shared" si="7"/>
        <v>10206.11985498252</v>
      </c>
      <c r="I159" s="8">
        <f t="shared" si="8"/>
        <v>130206.11985498252</v>
      </c>
    </row>
    <row r="160" spans="1:9" x14ac:dyDescent="0.25">
      <c r="A160" s="4" t="s">
        <v>91</v>
      </c>
      <c r="B160">
        <v>24</v>
      </c>
      <c r="C160" t="s">
        <v>17</v>
      </c>
      <c r="D160" s="8">
        <v>180000</v>
      </c>
      <c r="E160">
        <v>8</v>
      </c>
      <c r="F160" s="7">
        <v>0.28000000000000003</v>
      </c>
      <c r="G160" s="9">
        <f t="shared" si="6"/>
        <v>24926.037048113303</v>
      </c>
      <c r="H160" s="8">
        <f t="shared" si="7"/>
        <v>19408.296384906425</v>
      </c>
      <c r="I160" s="8">
        <f t="shared" si="8"/>
        <v>199408.29638490643</v>
      </c>
    </row>
    <row r="161" spans="1:9" x14ac:dyDescent="0.25">
      <c r="A161" s="4" t="s">
        <v>105</v>
      </c>
      <c r="B161">
        <v>29</v>
      </c>
      <c r="C161" t="s">
        <v>27</v>
      </c>
      <c r="D161" s="8">
        <v>110000</v>
      </c>
      <c r="E161">
        <v>5</v>
      </c>
      <c r="F161" s="7">
        <v>0.22</v>
      </c>
      <c r="G161" s="9">
        <f t="shared" si="6"/>
        <v>23224.65286295387</v>
      </c>
      <c r="H161" s="8">
        <f t="shared" si="7"/>
        <v>6123.2643147693452</v>
      </c>
      <c r="I161" s="8">
        <f t="shared" si="8"/>
        <v>116123.26431476935</v>
      </c>
    </row>
    <row r="162" spans="1:9" x14ac:dyDescent="0.25">
      <c r="A162" s="4" t="s">
        <v>156</v>
      </c>
      <c r="B162">
        <v>25</v>
      </c>
      <c r="C162" t="s">
        <v>79</v>
      </c>
      <c r="D162" s="8">
        <v>160000</v>
      </c>
      <c r="E162">
        <v>5</v>
      </c>
      <c r="F162" s="7">
        <v>0.23</v>
      </c>
      <c r="G162" s="9">
        <f t="shared" si="6"/>
        <v>33863.2849978554</v>
      </c>
      <c r="H162" s="8">
        <f t="shared" si="7"/>
        <v>9316.4249892770022</v>
      </c>
      <c r="I162" s="8">
        <f t="shared" si="8"/>
        <v>169316.424989277</v>
      </c>
    </row>
    <row r="163" spans="1:9" x14ac:dyDescent="0.25">
      <c r="A163" s="4" t="s">
        <v>70</v>
      </c>
      <c r="B163">
        <v>18</v>
      </c>
      <c r="C163" t="s">
        <v>21</v>
      </c>
      <c r="D163" s="8">
        <v>200000</v>
      </c>
      <c r="E163">
        <v>8</v>
      </c>
      <c r="F163" s="7">
        <v>0.25</v>
      </c>
      <c r="G163" s="9">
        <f t="shared" si="6"/>
        <v>27400.104912104405</v>
      </c>
      <c r="H163" s="8">
        <f t="shared" si="7"/>
        <v>19200.839296835242</v>
      </c>
      <c r="I163" s="8">
        <f t="shared" si="8"/>
        <v>219200.83929683524</v>
      </c>
    </row>
    <row r="164" spans="1:9" x14ac:dyDescent="0.25">
      <c r="A164" s="4" t="s">
        <v>157</v>
      </c>
      <c r="B164">
        <v>30</v>
      </c>
      <c r="C164" t="s">
        <v>27</v>
      </c>
      <c r="D164" s="8">
        <v>180000</v>
      </c>
      <c r="E164">
        <v>6</v>
      </c>
      <c r="F164" s="7">
        <v>0.21</v>
      </c>
      <c r="G164" s="9">
        <f t="shared" si="6"/>
        <v>31864.060173202106</v>
      </c>
      <c r="H164" s="8">
        <f t="shared" si="7"/>
        <v>11184.361039212643</v>
      </c>
      <c r="I164" s="8">
        <f t="shared" si="8"/>
        <v>191184.36103921264</v>
      </c>
    </row>
    <row r="165" spans="1:9" x14ac:dyDescent="0.25">
      <c r="A165" s="4" t="s">
        <v>158</v>
      </c>
      <c r="B165">
        <v>22</v>
      </c>
      <c r="C165" t="s">
        <v>31</v>
      </c>
      <c r="D165" s="8">
        <v>190000</v>
      </c>
      <c r="E165">
        <v>6</v>
      </c>
      <c r="F165" s="7">
        <v>0.22</v>
      </c>
      <c r="G165" s="9">
        <f t="shared" si="6"/>
        <v>33729.367312041992</v>
      </c>
      <c r="H165" s="8">
        <f t="shared" si="7"/>
        <v>12376.203872251965</v>
      </c>
      <c r="I165" s="8">
        <f t="shared" si="8"/>
        <v>202376.20387225196</v>
      </c>
    </row>
    <row r="166" spans="1:9" x14ac:dyDescent="0.25">
      <c r="A166" s="4" t="s">
        <v>159</v>
      </c>
      <c r="B166">
        <v>20</v>
      </c>
      <c r="C166" t="s">
        <v>27</v>
      </c>
      <c r="D166" s="8">
        <v>170000</v>
      </c>
      <c r="E166">
        <v>5</v>
      </c>
      <c r="F166" s="7">
        <v>0.23</v>
      </c>
      <c r="G166" s="9">
        <f t="shared" si="6"/>
        <v>35979.740310221358</v>
      </c>
      <c r="H166" s="8">
        <f t="shared" si="7"/>
        <v>9898.7015511067875</v>
      </c>
      <c r="I166" s="8">
        <f t="shared" si="8"/>
        <v>179898.70155110679</v>
      </c>
    </row>
    <row r="167" spans="1:9" x14ac:dyDescent="0.25">
      <c r="A167" s="4" t="s">
        <v>160</v>
      </c>
      <c r="B167">
        <v>20</v>
      </c>
      <c r="C167" t="s">
        <v>33</v>
      </c>
      <c r="D167" s="8">
        <v>140000</v>
      </c>
      <c r="E167">
        <v>9</v>
      </c>
      <c r="F167" s="7">
        <v>0.26</v>
      </c>
      <c r="G167" s="9">
        <f t="shared" si="6"/>
        <v>17288.873747056161</v>
      </c>
      <c r="H167" s="8">
        <f t="shared" si="7"/>
        <v>15599.863723505463</v>
      </c>
      <c r="I167" s="8">
        <f t="shared" si="8"/>
        <v>155599.86372350546</v>
      </c>
    </row>
    <row r="168" spans="1:9" x14ac:dyDescent="0.25">
      <c r="A168" s="4" t="s">
        <v>99</v>
      </c>
      <c r="B168">
        <v>30</v>
      </c>
      <c r="C168" t="s">
        <v>17</v>
      </c>
      <c r="D168" s="8">
        <v>190000</v>
      </c>
      <c r="E168">
        <v>8</v>
      </c>
      <c r="F168" s="7">
        <v>0.27</v>
      </c>
      <c r="G168" s="9">
        <f t="shared" si="6"/>
        <v>26217.077432678765</v>
      </c>
      <c r="H168" s="8">
        <f t="shared" si="7"/>
        <v>19736.61946143012</v>
      </c>
      <c r="I168" s="8">
        <f t="shared" si="8"/>
        <v>209736.61946143012</v>
      </c>
    </row>
    <row r="169" spans="1:9" x14ac:dyDescent="0.25">
      <c r="A169" s="4" t="s">
        <v>161</v>
      </c>
      <c r="B169">
        <v>22</v>
      </c>
      <c r="C169" t="s">
        <v>15</v>
      </c>
      <c r="D169" s="8">
        <v>130000</v>
      </c>
      <c r="E169">
        <v>7</v>
      </c>
      <c r="F169" s="7">
        <v>0.24</v>
      </c>
      <c r="G169" s="9">
        <f t="shared" si="6"/>
        <v>20086.55429340294</v>
      </c>
      <c r="H169" s="8">
        <f t="shared" si="7"/>
        <v>10605.880053820583</v>
      </c>
      <c r="I169" s="8">
        <f t="shared" si="8"/>
        <v>140605.88005382058</v>
      </c>
    </row>
    <row r="170" spans="1:9" x14ac:dyDescent="0.25">
      <c r="A170" s="4" t="s">
        <v>135</v>
      </c>
      <c r="B170">
        <v>18</v>
      </c>
      <c r="C170" t="s">
        <v>19</v>
      </c>
      <c r="D170" s="8">
        <v>150000</v>
      </c>
      <c r="E170">
        <v>9</v>
      </c>
      <c r="F170" s="7">
        <v>0.25</v>
      </c>
      <c r="G170" s="9">
        <f t="shared" si="6"/>
        <v>18450.479898800852</v>
      </c>
      <c r="H170" s="8">
        <f t="shared" si="7"/>
        <v>16054.319089207653</v>
      </c>
      <c r="I170" s="8">
        <f t="shared" si="8"/>
        <v>166054.31908920765</v>
      </c>
    </row>
    <row r="171" spans="1:9" x14ac:dyDescent="0.25">
      <c r="A171" s="4" t="s">
        <v>154</v>
      </c>
      <c r="B171">
        <v>28</v>
      </c>
      <c r="C171" t="s">
        <v>33</v>
      </c>
      <c r="D171" s="8">
        <v>110000</v>
      </c>
      <c r="E171">
        <v>5</v>
      </c>
      <c r="F171" s="7">
        <v>0.23</v>
      </c>
      <c r="G171" s="9">
        <f t="shared" si="6"/>
        <v>23281.008436025586</v>
      </c>
      <c r="H171" s="8">
        <f t="shared" si="7"/>
        <v>6405.0421801279299</v>
      </c>
      <c r="I171" s="8">
        <f t="shared" si="8"/>
        <v>116405.04218012793</v>
      </c>
    </row>
    <row r="172" spans="1:9" x14ac:dyDescent="0.25">
      <c r="A172" s="4" t="s">
        <v>140</v>
      </c>
      <c r="B172">
        <v>24</v>
      </c>
      <c r="C172" t="s">
        <v>45</v>
      </c>
      <c r="D172" s="8">
        <v>120000</v>
      </c>
      <c r="E172">
        <v>5</v>
      </c>
      <c r="F172" s="7">
        <v>0.22</v>
      </c>
      <c r="G172" s="9">
        <f t="shared" si="6"/>
        <v>25335.984941404222</v>
      </c>
      <c r="H172" s="8">
        <f t="shared" si="7"/>
        <v>6679.9247070211131</v>
      </c>
      <c r="I172" s="8">
        <f t="shared" si="8"/>
        <v>126679.92470702111</v>
      </c>
    </row>
    <row r="173" spans="1:9" x14ac:dyDescent="0.25">
      <c r="A173" s="4" t="s">
        <v>162</v>
      </c>
      <c r="B173">
        <v>25</v>
      </c>
      <c r="C173" t="s">
        <v>15</v>
      </c>
      <c r="D173" s="8">
        <v>170000</v>
      </c>
      <c r="E173">
        <v>7</v>
      </c>
      <c r="F173" s="7">
        <v>0.23</v>
      </c>
      <c r="G173" s="9">
        <f t="shared" si="6"/>
        <v>26182.95725473958</v>
      </c>
      <c r="H173" s="8">
        <f t="shared" si="7"/>
        <v>13280.700783177046</v>
      </c>
      <c r="I173" s="8">
        <f t="shared" si="8"/>
        <v>183280.70078317705</v>
      </c>
    </row>
    <row r="174" spans="1:9" x14ac:dyDescent="0.25">
      <c r="A174" s="4" t="s">
        <v>163</v>
      </c>
      <c r="B174">
        <v>18</v>
      </c>
      <c r="C174" t="s">
        <v>15</v>
      </c>
      <c r="D174" s="8">
        <v>160000</v>
      </c>
      <c r="E174">
        <v>7</v>
      </c>
      <c r="F174" s="7">
        <v>0.23</v>
      </c>
      <c r="G174" s="9">
        <f t="shared" si="6"/>
        <v>24642.78329857843</v>
      </c>
      <c r="H174" s="8">
        <f t="shared" si="7"/>
        <v>12499.483090049005</v>
      </c>
      <c r="I174" s="8">
        <f t="shared" si="8"/>
        <v>172499.48309004901</v>
      </c>
    </row>
    <row r="175" spans="1:9" x14ac:dyDescent="0.25">
      <c r="A175" s="4" t="s">
        <v>137</v>
      </c>
      <c r="B175">
        <v>28</v>
      </c>
      <c r="C175" t="s">
        <v>31</v>
      </c>
      <c r="D175" s="8">
        <v>100000</v>
      </c>
      <c r="E175">
        <v>5</v>
      </c>
      <c r="F175" s="7">
        <v>0.23</v>
      </c>
      <c r="G175" s="9">
        <f t="shared" si="6"/>
        <v>21164.553123659625</v>
      </c>
      <c r="H175" s="8">
        <f t="shared" si="7"/>
        <v>5822.76561829813</v>
      </c>
      <c r="I175" s="8">
        <f t="shared" si="8"/>
        <v>105822.76561829813</v>
      </c>
    </row>
    <row r="176" spans="1:9" x14ac:dyDescent="0.25">
      <c r="A176" s="4" t="s">
        <v>164</v>
      </c>
      <c r="B176">
        <v>18</v>
      </c>
      <c r="C176" t="s">
        <v>72</v>
      </c>
      <c r="D176" s="8">
        <v>170000</v>
      </c>
      <c r="E176">
        <v>6</v>
      </c>
      <c r="F176" s="7">
        <v>0.22</v>
      </c>
      <c r="G176" s="9">
        <f t="shared" si="6"/>
        <v>30178.907594984943</v>
      </c>
      <c r="H176" s="8">
        <f t="shared" si="7"/>
        <v>11073.445569909643</v>
      </c>
      <c r="I176" s="8">
        <f t="shared" si="8"/>
        <v>181073.44556990964</v>
      </c>
    </row>
    <row r="177" spans="1:9" x14ac:dyDescent="0.25">
      <c r="A177" s="4" t="s">
        <v>73</v>
      </c>
      <c r="B177">
        <v>28</v>
      </c>
      <c r="C177" t="s">
        <v>31</v>
      </c>
      <c r="D177" s="8">
        <v>150000</v>
      </c>
      <c r="E177">
        <v>8</v>
      </c>
      <c r="F177" s="7">
        <v>0.28000000000000003</v>
      </c>
      <c r="G177" s="9">
        <f t="shared" si="6"/>
        <v>20771.697540094417</v>
      </c>
      <c r="H177" s="8">
        <f t="shared" si="7"/>
        <v>16173.58032075534</v>
      </c>
      <c r="I177" s="8">
        <f t="shared" si="8"/>
        <v>166173.58032075534</v>
      </c>
    </row>
    <row r="178" spans="1:9" x14ac:dyDescent="0.25">
      <c r="A178" s="4" t="s">
        <v>165</v>
      </c>
      <c r="B178">
        <v>19</v>
      </c>
      <c r="C178" t="s">
        <v>21</v>
      </c>
      <c r="D178" s="8">
        <v>130000</v>
      </c>
      <c r="E178">
        <v>7</v>
      </c>
      <c r="F178" s="7">
        <v>0.23</v>
      </c>
      <c r="G178" s="9">
        <f t="shared" si="6"/>
        <v>20022.261430094972</v>
      </c>
      <c r="H178" s="8">
        <f t="shared" si="7"/>
        <v>10155.830010664795</v>
      </c>
      <c r="I178" s="8">
        <f t="shared" si="8"/>
        <v>140155.83001066479</v>
      </c>
    </row>
    <row r="179" spans="1:9" x14ac:dyDescent="0.25">
      <c r="A179" s="4" t="s">
        <v>166</v>
      </c>
      <c r="B179">
        <v>22</v>
      </c>
      <c r="C179" t="s">
        <v>33</v>
      </c>
      <c r="D179" s="8">
        <v>150000</v>
      </c>
      <c r="E179">
        <v>7</v>
      </c>
      <c r="F179" s="7">
        <v>0.23</v>
      </c>
      <c r="G179" s="9">
        <f t="shared" si="6"/>
        <v>23102.609342417276</v>
      </c>
      <c r="H179" s="8">
        <f t="shared" si="7"/>
        <v>11718.265396920935</v>
      </c>
      <c r="I179" s="8">
        <f t="shared" si="8"/>
        <v>161718.26539692094</v>
      </c>
    </row>
    <row r="180" spans="1:9" x14ac:dyDescent="0.25">
      <c r="A180" s="4" t="s">
        <v>167</v>
      </c>
      <c r="B180">
        <v>29</v>
      </c>
      <c r="C180" t="s">
        <v>21</v>
      </c>
      <c r="D180" s="8">
        <v>170000</v>
      </c>
      <c r="E180">
        <v>9</v>
      </c>
      <c r="F180" s="7">
        <v>0.26</v>
      </c>
      <c r="G180" s="9">
        <f t="shared" si="6"/>
        <v>20993.632407139627</v>
      </c>
      <c r="H180" s="8">
        <f t="shared" si="7"/>
        <v>18942.69166425665</v>
      </c>
      <c r="I180" s="8">
        <f t="shared" si="8"/>
        <v>188942.69166425665</v>
      </c>
    </row>
    <row r="181" spans="1:9" x14ac:dyDescent="0.25">
      <c r="A181" s="4" t="s">
        <v>168</v>
      </c>
      <c r="B181">
        <v>29</v>
      </c>
      <c r="C181" t="s">
        <v>21</v>
      </c>
      <c r="D181" s="8">
        <v>180000</v>
      </c>
      <c r="E181">
        <v>9</v>
      </c>
      <c r="F181" s="7">
        <v>0.26</v>
      </c>
      <c r="G181" s="9">
        <f t="shared" si="6"/>
        <v>22228.551960500779</v>
      </c>
      <c r="H181" s="8">
        <f t="shared" si="7"/>
        <v>20056.967644507007</v>
      </c>
      <c r="I181" s="8">
        <f t="shared" si="8"/>
        <v>200056.96764450701</v>
      </c>
    </row>
    <row r="182" spans="1:9" x14ac:dyDescent="0.25">
      <c r="A182" s="4" t="s">
        <v>169</v>
      </c>
      <c r="B182">
        <v>29</v>
      </c>
      <c r="C182" t="s">
        <v>36</v>
      </c>
      <c r="D182" s="8">
        <v>130000</v>
      </c>
      <c r="E182">
        <v>5</v>
      </c>
      <c r="F182" s="7">
        <v>0.21</v>
      </c>
      <c r="G182" s="9">
        <f t="shared" si="6"/>
        <v>27380.785202238112</v>
      </c>
      <c r="H182" s="8">
        <f t="shared" si="7"/>
        <v>6903.9260111905751</v>
      </c>
      <c r="I182" s="8">
        <f t="shared" si="8"/>
        <v>136903.92601119058</v>
      </c>
    </row>
    <row r="183" spans="1:9" x14ac:dyDescent="0.25">
      <c r="A183" s="4" t="s">
        <v>170</v>
      </c>
      <c r="B183">
        <v>22</v>
      </c>
      <c r="C183" t="s">
        <v>23</v>
      </c>
      <c r="D183" s="8">
        <v>100000</v>
      </c>
      <c r="E183">
        <v>6</v>
      </c>
      <c r="F183" s="7">
        <v>0.21</v>
      </c>
      <c r="G183" s="9">
        <f t="shared" si="6"/>
        <v>17702.255651778945</v>
      </c>
      <c r="H183" s="8">
        <f t="shared" si="7"/>
        <v>6213.5339106736646</v>
      </c>
      <c r="I183" s="8">
        <f t="shared" si="8"/>
        <v>106213.53391067366</v>
      </c>
    </row>
    <row r="184" spans="1:9" x14ac:dyDescent="0.25">
      <c r="A184" s="4" t="s">
        <v>171</v>
      </c>
      <c r="B184">
        <v>23</v>
      </c>
      <c r="C184" t="s">
        <v>23</v>
      </c>
      <c r="D184" s="8">
        <v>130000</v>
      </c>
      <c r="E184">
        <v>9</v>
      </c>
      <c r="F184" s="7">
        <v>0.27</v>
      </c>
      <c r="G184" s="9">
        <f t="shared" si="6"/>
        <v>16117.621508522534</v>
      </c>
      <c r="H184" s="8">
        <f t="shared" si="7"/>
        <v>15058.593576702813</v>
      </c>
      <c r="I184" s="8">
        <f t="shared" si="8"/>
        <v>145058.59357670281</v>
      </c>
    </row>
    <row r="185" spans="1:9" x14ac:dyDescent="0.25">
      <c r="A185" s="4" t="s">
        <v>172</v>
      </c>
      <c r="B185">
        <v>25</v>
      </c>
      <c r="C185" t="s">
        <v>79</v>
      </c>
      <c r="D185" s="8">
        <v>200000</v>
      </c>
      <c r="E185">
        <v>6</v>
      </c>
      <c r="F185" s="7">
        <v>0.21</v>
      </c>
      <c r="G185" s="9">
        <f t="shared" si="6"/>
        <v>35404.511303557891</v>
      </c>
      <c r="H185" s="8">
        <f t="shared" si="7"/>
        <v>12427.067821347329</v>
      </c>
      <c r="I185" s="8">
        <f t="shared" si="8"/>
        <v>212427.06782134733</v>
      </c>
    </row>
    <row r="186" spans="1:9" x14ac:dyDescent="0.25">
      <c r="A186" s="4" t="s">
        <v>129</v>
      </c>
      <c r="B186">
        <v>26</v>
      </c>
      <c r="C186" t="s">
        <v>72</v>
      </c>
      <c r="D186" s="8">
        <v>100000</v>
      </c>
      <c r="E186">
        <v>8</v>
      </c>
      <c r="F186" s="7">
        <v>0.26</v>
      </c>
      <c r="G186" s="9">
        <f t="shared" si="6"/>
        <v>13749.213129500729</v>
      </c>
      <c r="H186" s="8">
        <f t="shared" si="7"/>
        <v>9993.7050360058347</v>
      </c>
      <c r="I186" s="8">
        <f t="shared" si="8"/>
        <v>109993.70503600583</v>
      </c>
    </row>
    <row r="187" spans="1:9" x14ac:dyDescent="0.25">
      <c r="A187" s="4" t="s">
        <v>173</v>
      </c>
      <c r="B187">
        <v>25</v>
      </c>
      <c r="C187" t="s">
        <v>62</v>
      </c>
      <c r="D187" s="8">
        <v>130000</v>
      </c>
      <c r="E187">
        <v>6</v>
      </c>
      <c r="F187" s="7">
        <v>0.21</v>
      </c>
      <c r="G187" s="9">
        <f t="shared" si="6"/>
        <v>23012.932347312631</v>
      </c>
      <c r="H187" s="8">
        <f t="shared" si="7"/>
        <v>8077.5940838757961</v>
      </c>
      <c r="I187" s="8">
        <f t="shared" si="8"/>
        <v>138077.5940838758</v>
      </c>
    </row>
    <row r="188" spans="1:9" x14ac:dyDescent="0.25">
      <c r="A188" s="4" t="s">
        <v>138</v>
      </c>
      <c r="B188">
        <v>21</v>
      </c>
      <c r="C188" t="s">
        <v>23</v>
      </c>
      <c r="D188" s="8">
        <v>160000</v>
      </c>
      <c r="E188">
        <v>9</v>
      </c>
      <c r="F188" s="7">
        <v>0.28000000000000003</v>
      </c>
      <c r="G188" s="9">
        <f t="shared" si="6"/>
        <v>19915.590968655415</v>
      </c>
      <c r="H188" s="8">
        <f t="shared" si="7"/>
        <v>19240.318717898743</v>
      </c>
      <c r="I188" s="8">
        <f t="shared" si="8"/>
        <v>179240.31871789874</v>
      </c>
    </row>
    <row r="189" spans="1:9" x14ac:dyDescent="0.25">
      <c r="A189" s="4" t="s">
        <v>132</v>
      </c>
      <c r="B189">
        <v>26</v>
      </c>
      <c r="C189" t="s">
        <v>31</v>
      </c>
      <c r="D189" s="8">
        <v>110000</v>
      </c>
      <c r="E189">
        <v>5</v>
      </c>
      <c r="F189" s="7">
        <v>0.22</v>
      </c>
      <c r="G189" s="9">
        <f t="shared" si="6"/>
        <v>23224.65286295387</v>
      </c>
      <c r="H189" s="8">
        <f t="shared" si="7"/>
        <v>6123.2643147693452</v>
      </c>
      <c r="I189" s="8">
        <f t="shared" si="8"/>
        <v>116123.26431476935</v>
      </c>
    </row>
    <row r="190" spans="1:9" x14ac:dyDescent="0.25">
      <c r="A190" s="4" t="s">
        <v>44</v>
      </c>
      <c r="B190">
        <v>23</v>
      </c>
      <c r="C190" t="s">
        <v>31</v>
      </c>
      <c r="D190" s="8">
        <v>140000</v>
      </c>
      <c r="E190">
        <v>8</v>
      </c>
      <c r="F190" s="7">
        <v>0.26</v>
      </c>
      <c r="G190" s="9">
        <f t="shared" si="6"/>
        <v>19248.898381301024</v>
      </c>
      <c r="H190" s="8">
        <f t="shared" si="7"/>
        <v>13991.187050408189</v>
      </c>
      <c r="I190" s="8">
        <f t="shared" si="8"/>
        <v>153991.18705040819</v>
      </c>
    </row>
    <row r="191" spans="1:9" x14ac:dyDescent="0.25">
      <c r="A191" s="4" t="s">
        <v>174</v>
      </c>
      <c r="B191">
        <v>28</v>
      </c>
      <c r="C191" t="s">
        <v>31</v>
      </c>
      <c r="D191" s="8">
        <v>100000</v>
      </c>
      <c r="E191">
        <v>8</v>
      </c>
      <c r="F191" s="7">
        <v>0.25</v>
      </c>
      <c r="G191" s="9">
        <f t="shared" si="6"/>
        <v>13700.052456052203</v>
      </c>
      <c r="H191" s="8">
        <f t="shared" si="7"/>
        <v>9600.4196484176209</v>
      </c>
      <c r="I191" s="8">
        <f t="shared" si="8"/>
        <v>109600.41964841762</v>
      </c>
    </row>
    <row r="192" spans="1:9" x14ac:dyDescent="0.25">
      <c r="A192" s="4" t="s">
        <v>122</v>
      </c>
      <c r="B192">
        <v>24</v>
      </c>
      <c r="C192" t="s">
        <v>50</v>
      </c>
      <c r="D192" s="8">
        <v>110000</v>
      </c>
      <c r="E192">
        <v>8</v>
      </c>
      <c r="F192" s="7">
        <v>0.26</v>
      </c>
      <c r="G192" s="9">
        <f t="shared" si="6"/>
        <v>15124.134442450804</v>
      </c>
      <c r="H192" s="8">
        <f t="shared" si="7"/>
        <v>10993.075539606434</v>
      </c>
      <c r="I192" s="8">
        <f t="shared" si="8"/>
        <v>120993.07553960643</v>
      </c>
    </row>
    <row r="193" spans="1:9" x14ac:dyDescent="0.25">
      <c r="A193" s="4" t="s">
        <v>175</v>
      </c>
      <c r="B193">
        <v>21</v>
      </c>
      <c r="C193" t="s">
        <v>72</v>
      </c>
      <c r="D193" s="8">
        <v>100000</v>
      </c>
      <c r="E193">
        <v>5</v>
      </c>
      <c r="F193" s="7">
        <v>0.21</v>
      </c>
      <c r="G193" s="9">
        <f t="shared" si="6"/>
        <v>21062.142463260087</v>
      </c>
      <c r="H193" s="8">
        <f t="shared" si="7"/>
        <v>5310.7123163004289</v>
      </c>
      <c r="I193" s="8">
        <f t="shared" si="8"/>
        <v>105310.71231630043</v>
      </c>
    </row>
    <row r="194" spans="1:9" x14ac:dyDescent="0.25">
      <c r="A194" s="4" t="s">
        <v>176</v>
      </c>
      <c r="B194">
        <v>20</v>
      </c>
      <c r="C194" t="s">
        <v>15</v>
      </c>
      <c r="D194" s="8">
        <v>120000</v>
      </c>
      <c r="E194">
        <v>7</v>
      </c>
      <c r="F194" s="7">
        <v>0.24</v>
      </c>
      <c r="G194" s="9">
        <f t="shared" si="6"/>
        <v>18541.434732371945</v>
      </c>
      <c r="H194" s="8">
        <f t="shared" si="7"/>
        <v>9790.0431266036176</v>
      </c>
      <c r="I194" s="8">
        <f t="shared" si="8"/>
        <v>129790.04312660362</v>
      </c>
    </row>
    <row r="195" spans="1:9" x14ac:dyDescent="0.25">
      <c r="A195" s="4" t="s">
        <v>111</v>
      </c>
      <c r="B195">
        <v>25</v>
      </c>
      <c r="C195" t="s">
        <v>25</v>
      </c>
      <c r="D195" s="8">
        <v>160000</v>
      </c>
      <c r="E195">
        <v>5</v>
      </c>
      <c r="F195" s="7">
        <v>0.21</v>
      </c>
      <c r="G195" s="9">
        <f t="shared" si="6"/>
        <v>33699.427941216141</v>
      </c>
      <c r="H195" s="8">
        <f t="shared" si="7"/>
        <v>8497.1397060807212</v>
      </c>
      <c r="I195" s="8">
        <f t="shared" si="8"/>
        <v>168497.13970608072</v>
      </c>
    </row>
    <row r="196" spans="1:9" x14ac:dyDescent="0.25">
      <c r="A196" s="4" t="s">
        <v>152</v>
      </c>
      <c r="B196">
        <v>20</v>
      </c>
      <c r="C196" t="s">
        <v>36</v>
      </c>
      <c r="D196" s="8">
        <v>200000</v>
      </c>
      <c r="E196">
        <v>8</v>
      </c>
      <c r="F196" s="7">
        <v>0.27</v>
      </c>
      <c r="G196" s="9">
        <f t="shared" si="6"/>
        <v>27596.923613346065</v>
      </c>
      <c r="H196" s="8">
        <f t="shared" si="7"/>
        <v>20775.388906768523</v>
      </c>
      <c r="I196" s="8">
        <f t="shared" si="8"/>
        <v>220775.38890676852</v>
      </c>
    </row>
    <row r="197" spans="1:9" x14ac:dyDescent="0.25">
      <c r="A197" s="4" t="s">
        <v>177</v>
      </c>
      <c r="B197">
        <v>23</v>
      </c>
      <c r="C197" t="s">
        <v>31</v>
      </c>
      <c r="D197" s="8">
        <v>100000</v>
      </c>
      <c r="E197">
        <v>6</v>
      </c>
      <c r="F197" s="7">
        <v>0.21</v>
      </c>
      <c r="G197" s="9">
        <f t="shared" si="6"/>
        <v>17702.255651778945</v>
      </c>
      <c r="H197" s="8">
        <f t="shared" si="7"/>
        <v>6213.5339106736646</v>
      </c>
      <c r="I197" s="8">
        <f t="shared" si="8"/>
        <v>106213.53391067366</v>
      </c>
    </row>
    <row r="198" spans="1:9" x14ac:dyDescent="0.25">
      <c r="A198" s="4" t="s">
        <v>178</v>
      </c>
      <c r="B198">
        <v>22</v>
      </c>
      <c r="C198" t="s">
        <v>79</v>
      </c>
      <c r="D198" s="8">
        <v>120000</v>
      </c>
      <c r="E198">
        <v>5</v>
      </c>
      <c r="F198" s="7">
        <v>0.23</v>
      </c>
      <c r="G198" s="9">
        <f t="shared" ref="G198:G261" si="9">PMT(F198/12,E198,-D198)</f>
        <v>25397.46374839155</v>
      </c>
      <c r="H198" s="8">
        <f t="shared" ref="H198:H261" si="10">I198-D198</f>
        <v>6987.3187419577444</v>
      </c>
      <c r="I198" s="8">
        <f t="shared" ref="I198:I261" si="11">PRODUCT(G198,E198)</f>
        <v>126987.31874195774</v>
      </c>
    </row>
    <row r="199" spans="1:9" x14ac:dyDescent="0.25">
      <c r="A199" s="4" t="s">
        <v>179</v>
      </c>
      <c r="B199">
        <v>26</v>
      </c>
      <c r="C199" t="s">
        <v>21</v>
      </c>
      <c r="D199" s="8">
        <v>120000</v>
      </c>
      <c r="E199">
        <v>8</v>
      </c>
      <c r="F199" s="7">
        <v>0.26</v>
      </c>
      <c r="G199" s="9">
        <f t="shared" si="9"/>
        <v>16499.055755400877</v>
      </c>
      <c r="H199" s="8">
        <f t="shared" si="10"/>
        <v>11992.446043207019</v>
      </c>
      <c r="I199" s="8">
        <f t="shared" si="11"/>
        <v>131992.44604320702</v>
      </c>
    </row>
    <row r="200" spans="1:9" x14ac:dyDescent="0.25">
      <c r="A200" s="4" t="s">
        <v>180</v>
      </c>
      <c r="B200">
        <v>19</v>
      </c>
      <c r="C200" t="s">
        <v>17</v>
      </c>
      <c r="D200" s="8">
        <v>190000</v>
      </c>
      <c r="E200">
        <v>7</v>
      </c>
      <c r="F200" s="7">
        <v>0.24</v>
      </c>
      <c r="G200" s="9">
        <f t="shared" si="9"/>
        <v>29357.271659588911</v>
      </c>
      <c r="H200" s="8">
        <f t="shared" si="10"/>
        <v>15500.901617122378</v>
      </c>
      <c r="I200" s="8">
        <f t="shared" si="11"/>
        <v>205500.90161712238</v>
      </c>
    </row>
    <row r="201" spans="1:9" x14ac:dyDescent="0.25">
      <c r="A201" s="4" t="s">
        <v>181</v>
      </c>
      <c r="B201">
        <v>26</v>
      </c>
      <c r="C201" t="s">
        <v>31</v>
      </c>
      <c r="D201" s="8">
        <v>140000</v>
      </c>
      <c r="E201">
        <v>9</v>
      </c>
      <c r="F201" s="7">
        <v>0.26</v>
      </c>
      <c r="G201" s="9">
        <f t="shared" si="9"/>
        <v>17288.873747056161</v>
      </c>
      <c r="H201" s="8">
        <f t="shared" si="10"/>
        <v>15599.863723505463</v>
      </c>
      <c r="I201" s="8">
        <f t="shared" si="11"/>
        <v>155599.86372350546</v>
      </c>
    </row>
    <row r="202" spans="1:9" x14ac:dyDescent="0.25">
      <c r="A202" s="4" t="s">
        <v>182</v>
      </c>
      <c r="B202">
        <v>23</v>
      </c>
      <c r="C202" t="s">
        <v>50</v>
      </c>
      <c r="D202" s="8">
        <v>130000</v>
      </c>
      <c r="E202">
        <v>7</v>
      </c>
      <c r="F202" s="7">
        <v>0.25</v>
      </c>
      <c r="G202" s="9">
        <f t="shared" si="9"/>
        <v>20150.947120413959</v>
      </c>
      <c r="H202" s="8">
        <f t="shared" si="10"/>
        <v>11056.629842897702</v>
      </c>
      <c r="I202" s="8">
        <f t="shared" si="11"/>
        <v>141056.6298428977</v>
      </c>
    </row>
    <row r="203" spans="1:9" x14ac:dyDescent="0.25">
      <c r="A203" s="4" t="s">
        <v>183</v>
      </c>
      <c r="B203">
        <v>25</v>
      </c>
      <c r="C203" t="s">
        <v>33</v>
      </c>
      <c r="D203" s="8">
        <v>190000</v>
      </c>
      <c r="E203">
        <v>7</v>
      </c>
      <c r="F203" s="7">
        <v>0.24</v>
      </c>
      <c r="G203" s="9">
        <f t="shared" si="9"/>
        <v>29357.271659588911</v>
      </c>
      <c r="H203" s="8">
        <f t="shared" si="10"/>
        <v>15500.901617122378</v>
      </c>
      <c r="I203" s="8">
        <f t="shared" si="11"/>
        <v>205500.90161712238</v>
      </c>
    </row>
    <row r="204" spans="1:9" x14ac:dyDescent="0.25">
      <c r="A204" s="4" t="s">
        <v>172</v>
      </c>
      <c r="B204">
        <v>29</v>
      </c>
      <c r="C204" t="s">
        <v>19</v>
      </c>
      <c r="D204" s="8">
        <v>140000</v>
      </c>
      <c r="E204">
        <v>6</v>
      </c>
      <c r="F204" s="7">
        <v>0.22</v>
      </c>
      <c r="G204" s="9">
        <f t="shared" si="9"/>
        <v>24853.218019399363</v>
      </c>
      <c r="H204" s="8">
        <f t="shared" si="10"/>
        <v>9119.3081163961906</v>
      </c>
      <c r="I204" s="8">
        <f t="shared" si="11"/>
        <v>149119.30811639619</v>
      </c>
    </row>
    <row r="205" spans="1:9" x14ac:dyDescent="0.25">
      <c r="A205" s="4" t="s">
        <v>102</v>
      </c>
      <c r="B205">
        <v>28</v>
      </c>
      <c r="C205" t="s">
        <v>23</v>
      </c>
      <c r="D205" s="8">
        <v>180000</v>
      </c>
      <c r="E205">
        <v>8</v>
      </c>
      <c r="F205" s="7">
        <v>0.25</v>
      </c>
      <c r="G205" s="9">
        <f t="shared" si="9"/>
        <v>24660.094420893965</v>
      </c>
      <c r="H205" s="8">
        <f t="shared" si="10"/>
        <v>17280.755367151723</v>
      </c>
      <c r="I205" s="8">
        <f t="shared" si="11"/>
        <v>197280.75536715172</v>
      </c>
    </row>
    <row r="206" spans="1:9" x14ac:dyDescent="0.25">
      <c r="A206" s="4" t="s">
        <v>87</v>
      </c>
      <c r="B206">
        <v>28</v>
      </c>
      <c r="C206" t="s">
        <v>62</v>
      </c>
      <c r="D206" s="8">
        <v>200000</v>
      </c>
      <c r="E206">
        <v>8</v>
      </c>
      <c r="F206" s="7">
        <v>0.28000000000000003</v>
      </c>
      <c r="G206" s="9">
        <f t="shared" si="9"/>
        <v>27695.59672012589</v>
      </c>
      <c r="H206" s="8">
        <f t="shared" si="10"/>
        <v>21564.77376100712</v>
      </c>
      <c r="I206" s="8">
        <f t="shared" si="11"/>
        <v>221564.77376100712</v>
      </c>
    </row>
    <row r="207" spans="1:9" x14ac:dyDescent="0.25">
      <c r="A207" s="4" t="s">
        <v>184</v>
      </c>
      <c r="B207">
        <v>21</v>
      </c>
      <c r="C207" t="s">
        <v>72</v>
      </c>
      <c r="D207" s="8">
        <v>200000</v>
      </c>
      <c r="E207">
        <v>6</v>
      </c>
      <c r="F207" s="7">
        <v>0.23</v>
      </c>
      <c r="G207" s="9">
        <f t="shared" si="9"/>
        <v>35604.814283456937</v>
      </c>
      <c r="H207" s="8">
        <f t="shared" si="10"/>
        <v>13628.885700741608</v>
      </c>
      <c r="I207" s="8">
        <f t="shared" si="11"/>
        <v>213628.88570074161</v>
      </c>
    </row>
    <row r="208" spans="1:9" x14ac:dyDescent="0.25">
      <c r="A208" s="4" t="s">
        <v>185</v>
      </c>
      <c r="B208">
        <v>26</v>
      </c>
      <c r="C208" t="s">
        <v>72</v>
      </c>
      <c r="D208" s="8">
        <v>120000</v>
      </c>
      <c r="E208">
        <v>5</v>
      </c>
      <c r="F208" s="7">
        <v>0.22</v>
      </c>
      <c r="G208" s="9">
        <f t="shared" si="9"/>
        <v>25335.984941404222</v>
      </c>
      <c r="H208" s="8">
        <f t="shared" si="10"/>
        <v>6679.9247070211131</v>
      </c>
      <c r="I208" s="8">
        <f t="shared" si="11"/>
        <v>126679.92470702111</v>
      </c>
    </row>
    <row r="209" spans="1:9" x14ac:dyDescent="0.25">
      <c r="A209" s="4" t="s">
        <v>95</v>
      </c>
      <c r="B209">
        <v>21</v>
      </c>
      <c r="C209" t="s">
        <v>19</v>
      </c>
      <c r="D209" s="8">
        <v>120000</v>
      </c>
      <c r="E209">
        <v>6</v>
      </c>
      <c r="F209" s="7">
        <v>0.22</v>
      </c>
      <c r="G209" s="9">
        <f t="shared" si="9"/>
        <v>21302.758302342314</v>
      </c>
      <c r="H209" s="8">
        <f t="shared" si="10"/>
        <v>7816.5498140538839</v>
      </c>
      <c r="I209" s="8">
        <f t="shared" si="11"/>
        <v>127816.54981405388</v>
      </c>
    </row>
    <row r="210" spans="1:9" x14ac:dyDescent="0.25">
      <c r="A210" s="4" t="s">
        <v>113</v>
      </c>
      <c r="B210">
        <v>26</v>
      </c>
      <c r="C210" t="s">
        <v>62</v>
      </c>
      <c r="D210" s="8">
        <v>150000</v>
      </c>
      <c r="E210">
        <v>7</v>
      </c>
      <c r="F210" s="7">
        <v>0.24</v>
      </c>
      <c r="G210" s="9">
        <f t="shared" si="9"/>
        <v>23176.79341546493</v>
      </c>
      <c r="H210" s="8">
        <f t="shared" si="10"/>
        <v>12237.553908254515</v>
      </c>
      <c r="I210" s="8">
        <f t="shared" si="11"/>
        <v>162237.55390825451</v>
      </c>
    </row>
    <row r="211" spans="1:9" x14ac:dyDescent="0.25">
      <c r="A211" s="4" t="s">
        <v>186</v>
      </c>
      <c r="B211">
        <v>26</v>
      </c>
      <c r="C211" t="s">
        <v>45</v>
      </c>
      <c r="D211" s="8">
        <v>190000</v>
      </c>
      <c r="E211">
        <v>9</v>
      </c>
      <c r="F211" s="7">
        <v>0.25</v>
      </c>
      <c r="G211" s="9">
        <f t="shared" si="9"/>
        <v>23370.607871814413</v>
      </c>
      <c r="H211" s="8">
        <f t="shared" si="10"/>
        <v>20335.470846329699</v>
      </c>
      <c r="I211" s="8">
        <f t="shared" si="11"/>
        <v>210335.4708463297</v>
      </c>
    </row>
    <row r="212" spans="1:9" x14ac:dyDescent="0.25">
      <c r="A212" s="4" t="s">
        <v>187</v>
      </c>
      <c r="B212">
        <v>20</v>
      </c>
      <c r="C212" t="s">
        <v>36</v>
      </c>
      <c r="D212" s="8">
        <v>160000</v>
      </c>
      <c r="E212">
        <v>9</v>
      </c>
      <c r="F212" s="7">
        <v>0.25</v>
      </c>
      <c r="G212" s="9">
        <f t="shared" si="9"/>
        <v>19680.511892054241</v>
      </c>
      <c r="H212" s="8">
        <f t="shared" si="10"/>
        <v>17124.607028488157</v>
      </c>
      <c r="I212" s="8">
        <f t="shared" si="11"/>
        <v>177124.60702848816</v>
      </c>
    </row>
    <row r="213" spans="1:9" x14ac:dyDescent="0.25">
      <c r="A213" s="4" t="s">
        <v>44</v>
      </c>
      <c r="B213">
        <v>23</v>
      </c>
      <c r="C213" t="s">
        <v>50</v>
      </c>
      <c r="D213" s="8">
        <v>120000</v>
      </c>
      <c r="E213">
        <v>8</v>
      </c>
      <c r="F213" s="7">
        <v>0.26</v>
      </c>
      <c r="G213" s="9">
        <f t="shared" si="9"/>
        <v>16499.055755400877</v>
      </c>
      <c r="H213" s="8">
        <f t="shared" si="10"/>
        <v>11992.446043207019</v>
      </c>
      <c r="I213" s="8">
        <f t="shared" si="11"/>
        <v>131992.44604320702</v>
      </c>
    </row>
    <row r="214" spans="1:9" x14ac:dyDescent="0.25">
      <c r="A214" s="4" t="s">
        <v>188</v>
      </c>
      <c r="B214">
        <v>24</v>
      </c>
      <c r="C214" t="s">
        <v>17</v>
      </c>
      <c r="D214" s="8">
        <v>200000</v>
      </c>
      <c r="E214">
        <v>9</v>
      </c>
      <c r="F214" s="7">
        <v>0.28000000000000003</v>
      </c>
      <c r="G214" s="9">
        <f t="shared" si="9"/>
        <v>24894.488710819271</v>
      </c>
      <c r="H214" s="8">
        <f t="shared" si="10"/>
        <v>24050.398397373443</v>
      </c>
      <c r="I214" s="8">
        <f t="shared" si="11"/>
        <v>224050.39839737344</v>
      </c>
    </row>
    <row r="215" spans="1:9" x14ac:dyDescent="0.25">
      <c r="A215" s="4" t="s">
        <v>65</v>
      </c>
      <c r="B215">
        <v>27</v>
      </c>
      <c r="C215" t="s">
        <v>17</v>
      </c>
      <c r="D215" s="8">
        <v>200000</v>
      </c>
      <c r="E215">
        <v>5</v>
      </c>
      <c r="F215" s="7">
        <v>0.22</v>
      </c>
      <c r="G215" s="9">
        <f t="shared" si="9"/>
        <v>42226.641569007035</v>
      </c>
      <c r="H215" s="8">
        <f t="shared" si="10"/>
        <v>11133.207845035184</v>
      </c>
      <c r="I215" s="8">
        <f t="shared" si="11"/>
        <v>211133.20784503518</v>
      </c>
    </row>
    <row r="216" spans="1:9" x14ac:dyDescent="0.25">
      <c r="A216" s="4" t="s">
        <v>189</v>
      </c>
      <c r="B216">
        <v>21</v>
      </c>
      <c r="C216" t="s">
        <v>27</v>
      </c>
      <c r="D216" s="8">
        <v>160000</v>
      </c>
      <c r="E216">
        <v>5</v>
      </c>
      <c r="F216" s="7">
        <v>0.23</v>
      </c>
      <c r="G216" s="9">
        <f t="shared" si="9"/>
        <v>33863.2849978554</v>
      </c>
      <c r="H216" s="8">
        <f t="shared" si="10"/>
        <v>9316.4249892770022</v>
      </c>
      <c r="I216" s="8">
        <f t="shared" si="11"/>
        <v>169316.424989277</v>
      </c>
    </row>
    <row r="217" spans="1:9" x14ac:dyDescent="0.25">
      <c r="A217" s="4" t="s">
        <v>190</v>
      </c>
      <c r="B217">
        <v>23</v>
      </c>
      <c r="C217" t="s">
        <v>50</v>
      </c>
      <c r="D217" s="8">
        <v>110000</v>
      </c>
      <c r="E217">
        <v>9</v>
      </c>
      <c r="F217" s="7">
        <v>0.26</v>
      </c>
      <c r="G217" s="9">
        <f t="shared" si="9"/>
        <v>13584.115086972699</v>
      </c>
      <c r="H217" s="8">
        <f t="shared" si="10"/>
        <v>12257.03578275429</v>
      </c>
      <c r="I217" s="8">
        <f t="shared" si="11"/>
        <v>122257.03578275429</v>
      </c>
    </row>
    <row r="218" spans="1:9" x14ac:dyDescent="0.25">
      <c r="A218" s="4" t="s">
        <v>191</v>
      </c>
      <c r="B218">
        <v>26</v>
      </c>
      <c r="C218" t="s">
        <v>72</v>
      </c>
      <c r="D218" s="8">
        <v>160000</v>
      </c>
      <c r="E218">
        <v>6</v>
      </c>
      <c r="F218" s="7">
        <v>0.21</v>
      </c>
      <c r="G218" s="9">
        <f t="shared" si="9"/>
        <v>28323.609042846314</v>
      </c>
      <c r="H218" s="8">
        <f t="shared" si="10"/>
        <v>9941.6542570778984</v>
      </c>
      <c r="I218" s="8">
        <f t="shared" si="11"/>
        <v>169941.6542570779</v>
      </c>
    </row>
    <row r="219" spans="1:9" x14ac:dyDescent="0.25">
      <c r="A219" s="4" t="s">
        <v>124</v>
      </c>
      <c r="B219">
        <v>23</v>
      </c>
      <c r="C219" t="s">
        <v>27</v>
      </c>
      <c r="D219" s="8">
        <v>180000</v>
      </c>
      <c r="E219">
        <v>6</v>
      </c>
      <c r="F219" s="7">
        <v>0.23</v>
      </c>
      <c r="G219" s="9">
        <f t="shared" si="9"/>
        <v>32044.332855111246</v>
      </c>
      <c r="H219" s="8">
        <f t="shared" si="10"/>
        <v>12265.997130667471</v>
      </c>
      <c r="I219" s="8">
        <f t="shared" si="11"/>
        <v>192265.99713066747</v>
      </c>
    </row>
    <row r="220" spans="1:9" x14ac:dyDescent="0.25">
      <c r="A220" s="4" t="s">
        <v>192</v>
      </c>
      <c r="B220">
        <v>21</v>
      </c>
      <c r="C220" t="s">
        <v>31</v>
      </c>
      <c r="D220" s="8">
        <v>180000</v>
      </c>
      <c r="E220">
        <v>9</v>
      </c>
      <c r="F220" s="7">
        <v>0.28000000000000003</v>
      </c>
      <c r="G220" s="9">
        <f t="shared" si="9"/>
        <v>22405.039839737343</v>
      </c>
      <c r="H220" s="8">
        <f t="shared" si="10"/>
        <v>21645.358557636093</v>
      </c>
      <c r="I220" s="8">
        <f t="shared" si="11"/>
        <v>201645.35855763609</v>
      </c>
    </row>
    <row r="221" spans="1:9" x14ac:dyDescent="0.25">
      <c r="A221" s="4" t="s">
        <v>193</v>
      </c>
      <c r="B221">
        <v>25</v>
      </c>
      <c r="C221" t="s">
        <v>21</v>
      </c>
      <c r="D221" s="8">
        <v>120000</v>
      </c>
      <c r="E221">
        <v>7</v>
      </c>
      <c r="F221" s="7">
        <v>0.24</v>
      </c>
      <c r="G221" s="9">
        <f t="shared" si="9"/>
        <v>18541.434732371945</v>
      </c>
      <c r="H221" s="8">
        <f t="shared" si="10"/>
        <v>9790.0431266036176</v>
      </c>
      <c r="I221" s="8">
        <f t="shared" si="11"/>
        <v>129790.04312660362</v>
      </c>
    </row>
    <row r="222" spans="1:9" x14ac:dyDescent="0.25">
      <c r="A222" s="4" t="s">
        <v>194</v>
      </c>
      <c r="B222">
        <v>21</v>
      </c>
      <c r="C222" t="s">
        <v>23</v>
      </c>
      <c r="D222" s="8">
        <v>120000</v>
      </c>
      <c r="E222">
        <v>7</v>
      </c>
      <c r="F222" s="7">
        <v>0.24</v>
      </c>
      <c r="G222" s="9">
        <f t="shared" si="9"/>
        <v>18541.434732371945</v>
      </c>
      <c r="H222" s="8">
        <f t="shared" si="10"/>
        <v>9790.0431266036176</v>
      </c>
      <c r="I222" s="8">
        <f t="shared" si="11"/>
        <v>129790.04312660362</v>
      </c>
    </row>
    <row r="223" spans="1:9" x14ac:dyDescent="0.25">
      <c r="A223" s="4" t="s">
        <v>165</v>
      </c>
      <c r="B223">
        <v>27</v>
      </c>
      <c r="C223" t="s">
        <v>19</v>
      </c>
      <c r="D223" s="8">
        <v>160000</v>
      </c>
      <c r="E223">
        <v>6</v>
      </c>
      <c r="F223" s="7">
        <v>0.23</v>
      </c>
      <c r="G223" s="9">
        <f t="shared" si="9"/>
        <v>28483.851426765552</v>
      </c>
      <c r="H223" s="8">
        <f t="shared" si="10"/>
        <v>10903.108560593304</v>
      </c>
      <c r="I223" s="8">
        <f t="shared" si="11"/>
        <v>170903.1085605933</v>
      </c>
    </row>
    <row r="224" spans="1:9" x14ac:dyDescent="0.25">
      <c r="A224" s="4" t="s">
        <v>195</v>
      </c>
      <c r="B224">
        <v>25</v>
      </c>
      <c r="C224" t="s">
        <v>25</v>
      </c>
      <c r="D224" s="8">
        <v>180000</v>
      </c>
      <c r="E224">
        <v>6</v>
      </c>
      <c r="F224" s="7">
        <v>0.22</v>
      </c>
      <c r="G224" s="9">
        <f t="shared" si="9"/>
        <v>31954.137453513467</v>
      </c>
      <c r="H224" s="8">
        <f t="shared" si="10"/>
        <v>11724.824721080804</v>
      </c>
      <c r="I224" s="8">
        <f t="shared" si="11"/>
        <v>191724.8247210808</v>
      </c>
    </row>
    <row r="225" spans="1:9" x14ac:dyDescent="0.25">
      <c r="A225" s="4" t="s">
        <v>196</v>
      </c>
      <c r="B225">
        <v>27</v>
      </c>
      <c r="C225" t="s">
        <v>62</v>
      </c>
      <c r="D225" s="8">
        <v>180000</v>
      </c>
      <c r="E225">
        <v>9</v>
      </c>
      <c r="F225" s="7">
        <v>0.28000000000000003</v>
      </c>
      <c r="G225" s="9">
        <f t="shared" si="9"/>
        <v>22405.039839737343</v>
      </c>
      <c r="H225" s="8">
        <f t="shared" si="10"/>
        <v>21645.358557636093</v>
      </c>
      <c r="I225" s="8">
        <f t="shared" si="11"/>
        <v>201645.35855763609</v>
      </c>
    </row>
    <row r="226" spans="1:9" x14ac:dyDescent="0.25">
      <c r="A226" s="4" t="s">
        <v>197</v>
      </c>
      <c r="B226">
        <v>25</v>
      </c>
      <c r="C226" t="s">
        <v>19</v>
      </c>
      <c r="D226" s="8">
        <v>200000</v>
      </c>
      <c r="E226">
        <v>8</v>
      </c>
      <c r="F226" s="7">
        <v>0.28000000000000003</v>
      </c>
      <c r="G226" s="9">
        <f t="shared" si="9"/>
        <v>27695.59672012589</v>
      </c>
      <c r="H226" s="8">
        <f t="shared" si="10"/>
        <v>21564.77376100712</v>
      </c>
      <c r="I226" s="8">
        <f t="shared" si="11"/>
        <v>221564.77376100712</v>
      </c>
    </row>
    <row r="227" spans="1:9" x14ac:dyDescent="0.25">
      <c r="A227" s="4" t="s">
        <v>198</v>
      </c>
      <c r="B227">
        <v>21</v>
      </c>
      <c r="C227" t="s">
        <v>15</v>
      </c>
      <c r="D227" s="8">
        <v>110000</v>
      </c>
      <c r="E227">
        <v>6</v>
      </c>
      <c r="F227" s="7">
        <v>0.22</v>
      </c>
      <c r="G227" s="9">
        <f t="shared" si="9"/>
        <v>19527.528443813782</v>
      </c>
      <c r="H227" s="8">
        <f t="shared" si="10"/>
        <v>7165.1706628826942</v>
      </c>
      <c r="I227" s="8">
        <f t="shared" si="11"/>
        <v>117165.17066288269</v>
      </c>
    </row>
    <row r="228" spans="1:9" x14ac:dyDescent="0.25">
      <c r="A228" s="4" t="s">
        <v>199</v>
      </c>
      <c r="B228">
        <v>23</v>
      </c>
      <c r="C228" t="s">
        <v>62</v>
      </c>
      <c r="D228" s="8">
        <v>180000</v>
      </c>
      <c r="E228">
        <v>9</v>
      </c>
      <c r="F228" s="7">
        <v>0.25</v>
      </c>
      <c r="G228" s="9">
        <f t="shared" si="9"/>
        <v>22140.575878561023</v>
      </c>
      <c r="H228" s="8">
        <f t="shared" si="10"/>
        <v>19265.182907049195</v>
      </c>
      <c r="I228" s="8">
        <f t="shared" si="11"/>
        <v>199265.18290704919</v>
      </c>
    </row>
    <row r="229" spans="1:9" x14ac:dyDescent="0.25">
      <c r="A229" s="4" t="s">
        <v>77</v>
      </c>
      <c r="B229">
        <v>25</v>
      </c>
      <c r="C229" t="s">
        <v>31</v>
      </c>
      <c r="D229" s="8">
        <v>120000</v>
      </c>
      <c r="E229">
        <v>6</v>
      </c>
      <c r="F229" s="7">
        <v>0.23</v>
      </c>
      <c r="G229" s="9">
        <f t="shared" si="9"/>
        <v>21362.888570074163</v>
      </c>
      <c r="H229" s="8">
        <f t="shared" si="10"/>
        <v>8177.3314204449707</v>
      </c>
      <c r="I229" s="8">
        <f t="shared" si="11"/>
        <v>128177.33142044497</v>
      </c>
    </row>
    <row r="230" spans="1:9" x14ac:dyDescent="0.25">
      <c r="A230" s="4" t="s">
        <v>34</v>
      </c>
      <c r="B230">
        <v>25</v>
      </c>
      <c r="C230" t="s">
        <v>45</v>
      </c>
      <c r="D230" s="8">
        <v>190000</v>
      </c>
      <c r="E230">
        <v>5</v>
      </c>
      <c r="F230" s="7">
        <v>0.23</v>
      </c>
      <c r="G230" s="9">
        <f t="shared" si="9"/>
        <v>40212.650934953286</v>
      </c>
      <c r="H230" s="8">
        <f t="shared" si="10"/>
        <v>11063.254674766446</v>
      </c>
      <c r="I230" s="8">
        <f t="shared" si="11"/>
        <v>201063.25467476645</v>
      </c>
    </row>
    <row r="231" spans="1:9" x14ac:dyDescent="0.25">
      <c r="A231" s="4" t="s">
        <v>200</v>
      </c>
      <c r="B231">
        <v>27</v>
      </c>
      <c r="C231" t="s">
        <v>17</v>
      </c>
      <c r="D231" s="8">
        <v>150000</v>
      </c>
      <c r="E231">
        <v>9</v>
      </c>
      <c r="F231" s="7">
        <v>0.26</v>
      </c>
      <c r="G231" s="9">
        <f t="shared" si="9"/>
        <v>18523.793300417317</v>
      </c>
      <c r="H231" s="8">
        <f t="shared" si="10"/>
        <v>16714.139703755849</v>
      </c>
      <c r="I231" s="8">
        <f t="shared" si="11"/>
        <v>166714.13970375585</v>
      </c>
    </row>
    <row r="232" spans="1:9" x14ac:dyDescent="0.25">
      <c r="A232" s="4" t="s">
        <v>150</v>
      </c>
      <c r="B232">
        <v>18</v>
      </c>
      <c r="C232" t="s">
        <v>36</v>
      </c>
      <c r="D232" s="8">
        <v>150000</v>
      </c>
      <c r="E232">
        <v>9</v>
      </c>
      <c r="F232" s="7">
        <v>0.26</v>
      </c>
      <c r="G232" s="9">
        <f t="shared" si="9"/>
        <v>18523.793300417317</v>
      </c>
      <c r="H232" s="8">
        <f t="shared" si="10"/>
        <v>16714.139703755849</v>
      </c>
      <c r="I232" s="8">
        <f t="shared" si="11"/>
        <v>166714.13970375585</v>
      </c>
    </row>
    <row r="233" spans="1:9" x14ac:dyDescent="0.25">
      <c r="A233" s="4" t="s">
        <v>201</v>
      </c>
      <c r="B233">
        <v>23</v>
      </c>
      <c r="C233" t="s">
        <v>25</v>
      </c>
      <c r="D233" s="8">
        <v>150000</v>
      </c>
      <c r="E233">
        <v>6</v>
      </c>
      <c r="F233" s="7">
        <v>0.21</v>
      </c>
      <c r="G233" s="9">
        <f t="shared" si="9"/>
        <v>26553.38347766842</v>
      </c>
      <c r="H233" s="8">
        <f t="shared" si="10"/>
        <v>9320.3008660105115</v>
      </c>
      <c r="I233" s="8">
        <f t="shared" si="11"/>
        <v>159320.30086601051</v>
      </c>
    </row>
    <row r="234" spans="1:9" x14ac:dyDescent="0.25">
      <c r="A234" s="4" t="s">
        <v>81</v>
      </c>
      <c r="B234">
        <v>24</v>
      </c>
      <c r="C234" t="s">
        <v>15</v>
      </c>
      <c r="D234" s="8">
        <v>100000</v>
      </c>
      <c r="E234">
        <v>6</v>
      </c>
      <c r="F234" s="7">
        <v>0.22</v>
      </c>
      <c r="G234" s="9">
        <f t="shared" si="9"/>
        <v>17752.298585285258</v>
      </c>
      <c r="H234" s="8">
        <f t="shared" si="10"/>
        <v>6513.7915117115481</v>
      </c>
      <c r="I234" s="8">
        <f t="shared" si="11"/>
        <v>106513.79151171155</v>
      </c>
    </row>
    <row r="235" spans="1:9" x14ac:dyDescent="0.25">
      <c r="A235" s="4" t="s">
        <v>202</v>
      </c>
      <c r="B235">
        <v>27</v>
      </c>
      <c r="C235" t="s">
        <v>50</v>
      </c>
      <c r="D235" s="8">
        <v>120000</v>
      </c>
      <c r="E235">
        <v>7</v>
      </c>
      <c r="F235" s="7">
        <v>0.25</v>
      </c>
      <c r="G235" s="9">
        <f t="shared" si="9"/>
        <v>18600.874264997503</v>
      </c>
      <c r="H235" s="8">
        <f t="shared" si="10"/>
        <v>10206.11985498252</v>
      </c>
      <c r="I235" s="8">
        <f t="shared" si="11"/>
        <v>130206.11985498252</v>
      </c>
    </row>
    <row r="236" spans="1:9" x14ac:dyDescent="0.25">
      <c r="A236" s="4" t="s">
        <v>192</v>
      </c>
      <c r="B236">
        <v>19</v>
      </c>
      <c r="C236" t="s">
        <v>31</v>
      </c>
      <c r="D236" s="8">
        <v>100000</v>
      </c>
      <c r="E236">
        <v>5</v>
      </c>
      <c r="F236" s="7">
        <v>0.22</v>
      </c>
      <c r="G236" s="9">
        <f t="shared" si="9"/>
        <v>21113.320784503518</v>
      </c>
      <c r="H236" s="8">
        <f t="shared" si="10"/>
        <v>5566.6039225175919</v>
      </c>
      <c r="I236" s="8">
        <f t="shared" si="11"/>
        <v>105566.60392251759</v>
      </c>
    </row>
    <row r="237" spans="1:9" x14ac:dyDescent="0.25">
      <c r="A237" s="4" t="s">
        <v>203</v>
      </c>
      <c r="B237">
        <v>20</v>
      </c>
      <c r="C237" t="s">
        <v>21</v>
      </c>
      <c r="D237" s="8">
        <v>170000</v>
      </c>
      <c r="E237">
        <v>5</v>
      </c>
      <c r="F237" s="7">
        <v>0.23</v>
      </c>
      <c r="G237" s="9">
        <f t="shared" si="9"/>
        <v>35979.740310221358</v>
      </c>
      <c r="H237" s="8">
        <f t="shared" si="10"/>
        <v>9898.7015511067875</v>
      </c>
      <c r="I237" s="8">
        <f t="shared" si="11"/>
        <v>179898.70155110679</v>
      </c>
    </row>
    <row r="238" spans="1:9" x14ac:dyDescent="0.25">
      <c r="A238" s="4" t="s">
        <v>135</v>
      </c>
      <c r="B238">
        <v>22</v>
      </c>
      <c r="C238" t="s">
        <v>31</v>
      </c>
      <c r="D238" s="8">
        <v>170000</v>
      </c>
      <c r="E238">
        <v>8</v>
      </c>
      <c r="F238" s="7">
        <v>0.27</v>
      </c>
      <c r="G238" s="9">
        <f t="shared" si="9"/>
        <v>23457.385071344157</v>
      </c>
      <c r="H238" s="8">
        <f t="shared" si="10"/>
        <v>17659.080570753256</v>
      </c>
      <c r="I238" s="8">
        <f t="shared" si="11"/>
        <v>187659.08057075326</v>
      </c>
    </row>
    <row r="239" spans="1:9" x14ac:dyDescent="0.25">
      <c r="A239" s="4" t="s">
        <v>204</v>
      </c>
      <c r="B239">
        <v>25</v>
      </c>
      <c r="C239" t="s">
        <v>72</v>
      </c>
      <c r="D239" s="8">
        <v>140000</v>
      </c>
      <c r="E239">
        <v>6</v>
      </c>
      <c r="F239" s="7">
        <v>0.23</v>
      </c>
      <c r="G239" s="9">
        <f t="shared" si="9"/>
        <v>24923.369998419857</v>
      </c>
      <c r="H239" s="8">
        <f t="shared" si="10"/>
        <v>9540.2199905191374</v>
      </c>
      <c r="I239" s="8">
        <f t="shared" si="11"/>
        <v>149540.21999051914</v>
      </c>
    </row>
    <row r="240" spans="1:9" x14ac:dyDescent="0.25">
      <c r="A240" s="4" t="s">
        <v>205</v>
      </c>
      <c r="B240">
        <v>19</v>
      </c>
      <c r="C240" t="s">
        <v>21</v>
      </c>
      <c r="D240" s="8">
        <v>160000</v>
      </c>
      <c r="E240">
        <v>9</v>
      </c>
      <c r="F240" s="7">
        <v>0.28000000000000003</v>
      </c>
      <c r="G240" s="9">
        <f t="shared" si="9"/>
        <v>19915.590968655415</v>
      </c>
      <c r="H240" s="8">
        <f t="shared" si="10"/>
        <v>19240.318717898743</v>
      </c>
      <c r="I240" s="8">
        <f t="shared" si="11"/>
        <v>179240.31871789874</v>
      </c>
    </row>
    <row r="241" spans="1:9" x14ac:dyDescent="0.25">
      <c r="A241" s="4" t="s">
        <v>172</v>
      </c>
      <c r="B241">
        <v>28</v>
      </c>
      <c r="C241" t="s">
        <v>27</v>
      </c>
      <c r="D241" s="8">
        <v>130000</v>
      </c>
      <c r="E241">
        <v>7</v>
      </c>
      <c r="F241" s="7">
        <v>0.24</v>
      </c>
      <c r="G241" s="9">
        <f t="shared" si="9"/>
        <v>20086.55429340294</v>
      </c>
      <c r="H241" s="8">
        <f t="shared" si="10"/>
        <v>10605.880053820583</v>
      </c>
      <c r="I241" s="8">
        <f t="shared" si="11"/>
        <v>140605.88005382058</v>
      </c>
    </row>
    <row r="242" spans="1:9" x14ac:dyDescent="0.25">
      <c r="A242" s="4" t="s">
        <v>206</v>
      </c>
      <c r="B242">
        <v>18</v>
      </c>
      <c r="C242" t="s">
        <v>15</v>
      </c>
      <c r="D242" s="8">
        <v>160000</v>
      </c>
      <c r="E242">
        <v>6</v>
      </c>
      <c r="F242" s="7">
        <v>0.23</v>
      </c>
      <c r="G242" s="9">
        <f t="shared" si="9"/>
        <v>28483.851426765552</v>
      </c>
      <c r="H242" s="8">
        <f t="shared" si="10"/>
        <v>10903.108560593304</v>
      </c>
      <c r="I242" s="8">
        <f t="shared" si="11"/>
        <v>170903.1085605933</v>
      </c>
    </row>
    <row r="243" spans="1:9" x14ac:dyDescent="0.25">
      <c r="A243" s="4" t="s">
        <v>207</v>
      </c>
      <c r="B243">
        <v>29</v>
      </c>
      <c r="C243" t="s">
        <v>25</v>
      </c>
      <c r="D243" s="8">
        <v>170000</v>
      </c>
      <c r="E243">
        <v>8</v>
      </c>
      <c r="F243" s="7">
        <v>0.25</v>
      </c>
      <c r="G243" s="9">
        <f t="shared" si="9"/>
        <v>23290.089175288744</v>
      </c>
      <c r="H243" s="8">
        <f t="shared" si="10"/>
        <v>16320.71340230995</v>
      </c>
      <c r="I243" s="8">
        <f t="shared" si="11"/>
        <v>186320.71340230995</v>
      </c>
    </row>
    <row r="244" spans="1:9" x14ac:dyDescent="0.25">
      <c r="A244" s="4" t="s">
        <v>129</v>
      </c>
      <c r="B244">
        <v>18</v>
      </c>
      <c r="C244" t="s">
        <v>17</v>
      </c>
      <c r="D244" s="8">
        <v>160000</v>
      </c>
      <c r="E244">
        <v>7</v>
      </c>
      <c r="F244" s="7">
        <v>0.25</v>
      </c>
      <c r="G244" s="9">
        <f t="shared" si="9"/>
        <v>24801.165686663335</v>
      </c>
      <c r="H244" s="8">
        <f t="shared" si="10"/>
        <v>13608.159806643351</v>
      </c>
      <c r="I244" s="8">
        <f t="shared" si="11"/>
        <v>173608.15980664335</v>
      </c>
    </row>
    <row r="245" spans="1:9" x14ac:dyDescent="0.25">
      <c r="A245" s="4" t="s">
        <v>208</v>
      </c>
      <c r="B245">
        <v>28</v>
      </c>
      <c r="C245" t="s">
        <v>72</v>
      </c>
      <c r="D245" s="8">
        <v>130000</v>
      </c>
      <c r="E245">
        <v>6</v>
      </c>
      <c r="F245" s="7">
        <v>0.23</v>
      </c>
      <c r="G245" s="9">
        <f t="shared" si="9"/>
        <v>23143.129284247014</v>
      </c>
      <c r="H245" s="8">
        <f t="shared" si="10"/>
        <v>8858.7757054820831</v>
      </c>
      <c r="I245" s="8">
        <f t="shared" si="11"/>
        <v>138858.77570548208</v>
      </c>
    </row>
    <row r="246" spans="1:9" x14ac:dyDescent="0.25">
      <c r="A246" s="4" t="s">
        <v>209</v>
      </c>
      <c r="B246">
        <v>22</v>
      </c>
      <c r="C246" t="s">
        <v>33</v>
      </c>
      <c r="D246" s="8">
        <v>150000</v>
      </c>
      <c r="E246">
        <v>6</v>
      </c>
      <c r="F246" s="7">
        <v>0.21</v>
      </c>
      <c r="G246" s="9">
        <f t="shared" si="9"/>
        <v>26553.38347766842</v>
      </c>
      <c r="H246" s="8">
        <f t="shared" si="10"/>
        <v>9320.3008660105115</v>
      </c>
      <c r="I246" s="8">
        <f t="shared" si="11"/>
        <v>159320.30086601051</v>
      </c>
    </row>
    <row r="247" spans="1:9" x14ac:dyDescent="0.25">
      <c r="A247" s="4" t="s">
        <v>109</v>
      </c>
      <c r="B247">
        <v>18</v>
      </c>
      <c r="C247" t="s">
        <v>45</v>
      </c>
      <c r="D247" s="8">
        <v>130000</v>
      </c>
      <c r="E247">
        <v>7</v>
      </c>
      <c r="F247" s="7">
        <v>0.25</v>
      </c>
      <c r="G247" s="9">
        <f t="shared" si="9"/>
        <v>20150.947120413959</v>
      </c>
      <c r="H247" s="8">
        <f t="shared" si="10"/>
        <v>11056.629842897702</v>
      </c>
      <c r="I247" s="8">
        <f t="shared" si="11"/>
        <v>141056.6298428977</v>
      </c>
    </row>
    <row r="248" spans="1:9" x14ac:dyDescent="0.25">
      <c r="A248" s="4" t="s">
        <v>97</v>
      </c>
      <c r="B248">
        <v>24</v>
      </c>
      <c r="C248" t="s">
        <v>25</v>
      </c>
      <c r="D248" s="8">
        <v>190000</v>
      </c>
      <c r="E248">
        <v>8</v>
      </c>
      <c r="F248" s="7">
        <v>0.28000000000000003</v>
      </c>
      <c r="G248" s="9">
        <f t="shared" si="9"/>
        <v>26310.816884119595</v>
      </c>
      <c r="H248" s="8">
        <f t="shared" si="10"/>
        <v>20486.535072956758</v>
      </c>
      <c r="I248" s="8">
        <f t="shared" si="11"/>
        <v>210486.53507295676</v>
      </c>
    </row>
    <row r="249" spans="1:9" x14ac:dyDescent="0.25">
      <c r="A249" s="4" t="s">
        <v>210</v>
      </c>
      <c r="B249">
        <v>30</v>
      </c>
      <c r="C249" t="s">
        <v>62</v>
      </c>
      <c r="D249" s="8">
        <v>140000</v>
      </c>
      <c r="E249">
        <v>5</v>
      </c>
      <c r="F249" s="7">
        <v>0.22</v>
      </c>
      <c r="G249" s="9">
        <f t="shared" si="9"/>
        <v>29558.649098304926</v>
      </c>
      <c r="H249" s="8">
        <f t="shared" si="10"/>
        <v>7793.2454915246344</v>
      </c>
      <c r="I249" s="8">
        <f t="shared" si="11"/>
        <v>147793.24549152463</v>
      </c>
    </row>
    <row r="250" spans="1:9" x14ac:dyDescent="0.25">
      <c r="A250" s="4" t="s">
        <v>34</v>
      </c>
      <c r="B250">
        <v>26</v>
      </c>
      <c r="C250" t="s">
        <v>72</v>
      </c>
      <c r="D250" s="8">
        <v>110000</v>
      </c>
      <c r="E250">
        <v>6</v>
      </c>
      <c r="F250" s="7">
        <v>0.23</v>
      </c>
      <c r="G250" s="9">
        <f t="shared" si="9"/>
        <v>19582.647855901316</v>
      </c>
      <c r="H250" s="8">
        <f t="shared" si="10"/>
        <v>7495.8871354078874</v>
      </c>
      <c r="I250" s="8">
        <f t="shared" si="11"/>
        <v>117495.88713540789</v>
      </c>
    </row>
    <row r="251" spans="1:9" x14ac:dyDescent="0.25">
      <c r="A251" s="4" t="s">
        <v>26</v>
      </c>
      <c r="B251">
        <v>25</v>
      </c>
      <c r="C251" t="s">
        <v>25</v>
      </c>
      <c r="D251" s="8">
        <v>140000</v>
      </c>
      <c r="E251">
        <v>9</v>
      </c>
      <c r="F251" s="7">
        <v>0.25</v>
      </c>
      <c r="G251" s="9">
        <f t="shared" si="9"/>
        <v>17220.447905547462</v>
      </c>
      <c r="H251" s="8">
        <f t="shared" si="10"/>
        <v>14984.031149927148</v>
      </c>
      <c r="I251" s="8">
        <f t="shared" si="11"/>
        <v>154984.03114992715</v>
      </c>
    </row>
    <row r="252" spans="1:9" x14ac:dyDescent="0.25">
      <c r="A252" s="4" t="s">
        <v>211</v>
      </c>
      <c r="B252">
        <v>30</v>
      </c>
      <c r="C252" t="s">
        <v>19</v>
      </c>
      <c r="D252" s="8">
        <v>120000</v>
      </c>
      <c r="E252">
        <v>9</v>
      </c>
      <c r="F252" s="7">
        <v>0.25</v>
      </c>
      <c r="G252" s="9">
        <f t="shared" si="9"/>
        <v>14760.383919040682</v>
      </c>
      <c r="H252" s="8">
        <f t="shared" si="10"/>
        <v>12843.45527136614</v>
      </c>
      <c r="I252" s="8">
        <f t="shared" si="11"/>
        <v>132843.45527136614</v>
      </c>
    </row>
    <row r="253" spans="1:9" x14ac:dyDescent="0.25">
      <c r="A253" s="4" t="s">
        <v>65</v>
      </c>
      <c r="B253">
        <v>19</v>
      </c>
      <c r="C253" t="s">
        <v>27</v>
      </c>
      <c r="D253" s="8">
        <v>170000</v>
      </c>
      <c r="E253">
        <v>7</v>
      </c>
      <c r="F253" s="7">
        <v>0.24</v>
      </c>
      <c r="G253" s="9">
        <f t="shared" si="9"/>
        <v>26267.03253752692</v>
      </c>
      <c r="H253" s="8">
        <f t="shared" si="10"/>
        <v>13869.227762688446</v>
      </c>
      <c r="I253" s="8">
        <f t="shared" si="11"/>
        <v>183869.22776268845</v>
      </c>
    </row>
    <row r="254" spans="1:9" x14ac:dyDescent="0.25">
      <c r="A254" s="4" t="s">
        <v>212</v>
      </c>
      <c r="B254">
        <v>29</v>
      </c>
      <c r="C254" t="s">
        <v>62</v>
      </c>
      <c r="D254" s="8">
        <v>160000</v>
      </c>
      <c r="E254">
        <v>6</v>
      </c>
      <c r="F254" s="7">
        <v>0.23</v>
      </c>
      <c r="G254" s="9">
        <f t="shared" si="9"/>
        <v>28483.851426765552</v>
      </c>
      <c r="H254" s="8">
        <f t="shared" si="10"/>
        <v>10903.108560593304</v>
      </c>
      <c r="I254" s="8">
        <f t="shared" si="11"/>
        <v>170903.1085605933</v>
      </c>
    </row>
    <row r="255" spans="1:9" x14ac:dyDescent="0.25">
      <c r="A255" s="4" t="s">
        <v>213</v>
      </c>
      <c r="B255">
        <v>28</v>
      </c>
      <c r="C255" t="s">
        <v>21</v>
      </c>
      <c r="D255" s="8">
        <v>130000</v>
      </c>
      <c r="E255">
        <v>9</v>
      </c>
      <c r="F255" s="7">
        <v>0.25</v>
      </c>
      <c r="G255" s="9">
        <f t="shared" si="9"/>
        <v>15990.415912294071</v>
      </c>
      <c r="H255" s="8">
        <f t="shared" si="10"/>
        <v>13913.743210646644</v>
      </c>
      <c r="I255" s="8">
        <f t="shared" si="11"/>
        <v>143913.74321064664</v>
      </c>
    </row>
    <row r="256" spans="1:9" x14ac:dyDescent="0.25">
      <c r="A256" s="4" t="s">
        <v>214</v>
      </c>
      <c r="B256">
        <v>24</v>
      </c>
      <c r="C256" t="s">
        <v>17</v>
      </c>
      <c r="D256" s="8">
        <v>200000</v>
      </c>
      <c r="E256">
        <v>5</v>
      </c>
      <c r="F256" s="7">
        <v>0.21</v>
      </c>
      <c r="G256" s="9">
        <f t="shared" si="9"/>
        <v>42124.284926520173</v>
      </c>
      <c r="H256" s="8">
        <f t="shared" si="10"/>
        <v>10621.424632600858</v>
      </c>
      <c r="I256" s="8">
        <f t="shared" si="11"/>
        <v>210621.42463260086</v>
      </c>
    </row>
    <row r="257" spans="1:9" x14ac:dyDescent="0.25">
      <c r="A257" s="4" t="s">
        <v>115</v>
      </c>
      <c r="B257">
        <v>20</v>
      </c>
      <c r="C257" t="s">
        <v>79</v>
      </c>
      <c r="D257" s="8">
        <v>160000</v>
      </c>
      <c r="E257">
        <v>7</v>
      </c>
      <c r="F257" s="7">
        <v>0.25</v>
      </c>
      <c r="G257" s="9">
        <f t="shared" si="9"/>
        <v>24801.165686663335</v>
      </c>
      <c r="H257" s="8">
        <f t="shared" si="10"/>
        <v>13608.159806643351</v>
      </c>
      <c r="I257" s="8">
        <f t="shared" si="11"/>
        <v>173608.15980664335</v>
      </c>
    </row>
    <row r="258" spans="1:9" x14ac:dyDescent="0.25">
      <c r="A258" s="4" t="s">
        <v>110</v>
      </c>
      <c r="B258">
        <v>22</v>
      </c>
      <c r="C258" t="s">
        <v>33</v>
      </c>
      <c r="D258" s="8">
        <v>180000</v>
      </c>
      <c r="E258">
        <v>6</v>
      </c>
      <c r="F258" s="7">
        <v>0.22</v>
      </c>
      <c r="G258" s="9">
        <f t="shared" si="9"/>
        <v>31954.137453513467</v>
      </c>
      <c r="H258" s="8">
        <f t="shared" si="10"/>
        <v>11724.824721080804</v>
      </c>
      <c r="I258" s="8">
        <f t="shared" si="11"/>
        <v>191724.8247210808</v>
      </c>
    </row>
    <row r="259" spans="1:9" x14ac:dyDescent="0.25">
      <c r="A259" s="4" t="s">
        <v>215</v>
      </c>
      <c r="B259">
        <v>23</v>
      </c>
      <c r="C259" t="s">
        <v>27</v>
      </c>
      <c r="D259" s="8">
        <v>140000</v>
      </c>
      <c r="E259">
        <v>8</v>
      </c>
      <c r="F259" s="7">
        <v>0.26</v>
      </c>
      <c r="G259" s="9">
        <f t="shared" si="9"/>
        <v>19248.898381301024</v>
      </c>
      <c r="H259" s="8">
        <f t="shared" si="10"/>
        <v>13991.187050408189</v>
      </c>
      <c r="I259" s="8">
        <f t="shared" si="11"/>
        <v>153991.18705040819</v>
      </c>
    </row>
    <row r="260" spans="1:9" x14ac:dyDescent="0.25">
      <c r="A260" s="4" t="s">
        <v>29</v>
      </c>
      <c r="B260">
        <v>27</v>
      </c>
      <c r="C260" t="s">
        <v>23</v>
      </c>
      <c r="D260" s="8">
        <v>190000</v>
      </c>
      <c r="E260">
        <v>9</v>
      </c>
      <c r="F260" s="7">
        <v>0.28000000000000003</v>
      </c>
      <c r="G260" s="9">
        <f t="shared" si="9"/>
        <v>23649.764275278307</v>
      </c>
      <c r="H260" s="8">
        <f t="shared" si="10"/>
        <v>22847.878477504768</v>
      </c>
      <c r="I260" s="8">
        <f t="shared" si="11"/>
        <v>212847.87847750477</v>
      </c>
    </row>
    <row r="261" spans="1:9" x14ac:dyDescent="0.25">
      <c r="A261" s="4" t="s">
        <v>131</v>
      </c>
      <c r="B261">
        <v>20</v>
      </c>
      <c r="C261" t="s">
        <v>27</v>
      </c>
      <c r="D261" s="8">
        <v>150000</v>
      </c>
      <c r="E261">
        <v>8</v>
      </c>
      <c r="F261" s="7">
        <v>0.26</v>
      </c>
      <c r="G261" s="9">
        <f t="shared" si="9"/>
        <v>20623.819694251095</v>
      </c>
      <c r="H261" s="8">
        <f t="shared" si="10"/>
        <v>14990.557554008759</v>
      </c>
      <c r="I261" s="8">
        <f t="shared" si="11"/>
        <v>164990.55755400876</v>
      </c>
    </row>
    <row r="262" spans="1:9" x14ac:dyDescent="0.25">
      <c r="A262" s="4" t="s">
        <v>26</v>
      </c>
      <c r="B262">
        <v>27</v>
      </c>
      <c r="C262" t="s">
        <v>17</v>
      </c>
      <c r="D262" s="8">
        <v>190000</v>
      </c>
      <c r="E262">
        <v>5</v>
      </c>
      <c r="F262" s="7">
        <v>0.23</v>
      </c>
      <c r="G262" s="9">
        <f t="shared" ref="G262:G325" si="12">PMT(F262/12,E262,-D262)</f>
        <v>40212.650934953286</v>
      </c>
      <c r="H262" s="8">
        <f t="shared" ref="H262:H325" si="13">I262-D262</f>
        <v>11063.254674766446</v>
      </c>
      <c r="I262" s="8">
        <f t="shared" ref="I262:I325" si="14">PRODUCT(G262,E262)</f>
        <v>201063.25467476645</v>
      </c>
    </row>
    <row r="263" spans="1:9" x14ac:dyDescent="0.25">
      <c r="A263" s="4" t="s">
        <v>216</v>
      </c>
      <c r="B263">
        <v>20</v>
      </c>
      <c r="C263" t="s">
        <v>15</v>
      </c>
      <c r="D263" s="8">
        <v>190000</v>
      </c>
      <c r="E263">
        <v>5</v>
      </c>
      <c r="F263" s="7">
        <v>0.21</v>
      </c>
      <c r="G263" s="9">
        <f t="shared" si="12"/>
        <v>40018.070680194171</v>
      </c>
      <c r="H263" s="8">
        <f t="shared" si="13"/>
        <v>10090.353400970867</v>
      </c>
      <c r="I263" s="8">
        <f t="shared" si="14"/>
        <v>200090.35340097087</v>
      </c>
    </row>
    <row r="264" spans="1:9" x14ac:dyDescent="0.25">
      <c r="A264" s="4" t="s">
        <v>217</v>
      </c>
      <c r="B264">
        <v>26</v>
      </c>
      <c r="C264" t="s">
        <v>17</v>
      </c>
      <c r="D264" s="8">
        <v>120000</v>
      </c>
      <c r="E264">
        <v>5</v>
      </c>
      <c r="F264" s="7">
        <v>0.21</v>
      </c>
      <c r="G264" s="9">
        <f t="shared" si="12"/>
        <v>25274.570955912106</v>
      </c>
      <c r="H264" s="8">
        <f t="shared" si="13"/>
        <v>6372.8547795605264</v>
      </c>
      <c r="I264" s="8">
        <f t="shared" si="14"/>
        <v>126372.85477956053</v>
      </c>
    </row>
    <row r="265" spans="1:9" x14ac:dyDescent="0.25">
      <c r="A265" s="4" t="s">
        <v>114</v>
      </c>
      <c r="B265">
        <v>22</v>
      </c>
      <c r="C265" t="s">
        <v>23</v>
      </c>
      <c r="D265" s="8">
        <v>120000</v>
      </c>
      <c r="E265">
        <v>6</v>
      </c>
      <c r="F265" s="7">
        <v>0.22</v>
      </c>
      <c r="G265" s="9">
        <f t="shared" si="12"/>
        <v>21302.758302342314</v>
      </c>
      <c r="H265" s="8">
        <f t="shared" si="13"/>
        <v>7816.5498140538839</v>
      </c>
      <c r="I265" s="8">
        <f t="shared" si="14"/>
        <v>127816.54981405388</v>
      </c>
    </row>
    <row r="266" spans="1:9" x14ac:dyDescent="0.25">
      <c r="A266" s="4" t="s">
        <v>218</v>
      </c>
      <c r="B266">
        <v>27</v>
      </c>
      <c r="C266" t="s">
        <v>36</v>
      </c>
      <c r="D266" s="8">
        <v>110000</v>
      </c>
      <c r="E266">
        <v>6</v>
      </c>
      <c r="F266" s="7">
        <v>0.21</v>
      </c>
      <c r="G266" s="9">
        <f t="shared" si="12"/>
        <v>19472.481216956843</v>
      </c>
      <c r="H266" s="8">
        <f t="shared" si="13"/>
        <v>6834.8873017410515</v>
      </c>
      <c r="I266" s="8">
        <f t="shared" si="14"/>
        <v>116834.88730174105</v>
      </c>
    </row>
    <row r="267" spans="1:9" x14ac:dyDescent="0.25">
      <c r="A267" s="4" t="s">
        <v>197</v>
      </c>
      <c r="B267">
        <v>29</v>
      </c>
      <c r="C267" t="s">
        <v>50</v>
      </c>
      <c r="D267" s="8">
        <v>130000</v>
      </c>
      <c r="E267">
        <v>8</v>
      </c>
      <c r="F267" s="7">
        <v>0.25</v>
      </c>
      <c r="G267" s="9">
        <f t="shared" si="12"/>
        <v>17810.06819286786</v>
      </c>
      <c r="H267" s="8">
        <f t="shared" si="13"/>
        <v>12480.545542942884</v>
      </c>
      <c r="I267" s="8">
        <f t="shared" si="14"/>
        <v>142480.54554294288</v>
      </c>
    </row>
    <row r="268" spans="1:9" x14ac:dyDescent="0.25">
      <c r="A268" s="4" t="s">
        <v>112</v>
      </c>
      <c r="B268">
        <v>28</v>
      </c>
      <c r="C268" t="s">
        <v>79</v>
      </c>
      <c r="D268" s="8">
        <v>110000</v>
      </c>
      <c r="E268">
        <v>8</v>
      </c>
      <c r="F268" s="7">
        <v>0.28000000000000003</v>
      </c>
      <c r="G268" s="9">
        <f t="shared" si="12"/>
        <v>15232.578196069238</v>
      </c>
      <c r="H268" s="8">
        <f t="shared" si="13"/>
        <v>11860.625568553907</v>
      </c>
      <c r="I268" s="8">
        <f t="shared" si="14"/>
        <v>121860.62556855391</v>
      </c>
    </row>
    <row r="269" spans="1:9" x14ac:dyDescent="0.25">
      <c r="A269" s="4" t="s">
        <v>219</v>
      </c>
      <c r="B269">
        <v>21</v>
      </c>
      <c r="C269" t="s">
        <v>33</v>
      </c>
      <c r="D269" s="8">
        <v>190000</v>
      </c>
      <c r="E269">
        <v>8</v>
      </c>
      <c r="F269" s="7">
        <v>0.28000000000000003</v>
      </c>
      <c r="G269" s="9">
        <f t="shared" si="12"/>
        <v>26310.816884119595</v>
      </c>
      <c r="H269" s="8">
        <f t="shared" si="13"/>
        <v>20486.535072956758</v>
      </c>
      <c r="I269" s="8">
        <f t="shared" si="14"/>
        <v>210486.53507295676</v>
      </c>
    </row>
    <row r="270" spans="1:9" x14ac:dyDescent="0.25">
      <c r="A270" s="4" t="s">
        <v>131</v>
      </c>
      <c r="B270">
        <v>25</v>
      </c>
      <c r="C270" t="s">
        <v>62</v>
      </c>
      <c r="D270" s="8">
        <v>200000</v>
      </c>
      <c r="E270">
        <v>6</v>
      </c>
      <c r="F270" s="7">
        <v>0.21</v>
      </c>
      <c r="G270" s="9">
        <f t="shared" si="12"/>
        <v>35404.511303557891</v>
      </c>
      <c r="H270" s="8">
        <f t="shared" si="13"/>
        <v>12427.067821347329</v>
      </c>
      <c r="I270" s="8">
        <f t="shared" si="14"/>
        <v>212427.06782134733</v>
      </c>
    </row>
    <row r="271" spans="1:9" x14ac:dyDescent="0.25">
      <c r="A271" s="4" t="s">
        <v>220</v>
      </c>
      <c r="B271">
        <v>29</v>
      </c>
      <c r="C271" t="s">
        <v>72</v>
      </c>
      <c r="D271" s="8">
        <v>170000</v>
      </c>
      <c r="E271">
        <v>9</v>
      </c>
      <c r="F271" s="7">
        <v>0.28000000000000003</v>
      </c>
      <c r="G271" s="9">
        <f t="shared" si="12"/>
        <v>21160.315404196379</v>
      </c>
      <c r="H271" s="8">
        <f t="shared" si="13"/>
        <v>20442.838637767418</v>
      </c>
      <c r="I271" s="8">
        <f t="shared" si="14"/>
        <v>190442.83863776742</v>
      </c>
    </row>
    <row r="272" spans="1:9" x14ac:dyDescent="0.25">
      <c r="A272" s="4" t="s">
        <v>221</v>
      </c>
      <c r="B272">
        <v>28</v>
      </c>
      <c r="C272" t="s">
        <v>33</v>
      </c>
      <c r="D272" s="8">
        <v>130000</v>
      </c>
      <c r="E272">
        <v>6</v>
      </c>
      <c r="F272" s="7">
        <v>0.23</v>
      </c>
      <c r="G272" s="9">
        <f t="shared" si="12"/>
        <v>23143.129284247014</v>
      </c>
      <c r="H272" s="8">
        <f t="shared" si="13"/>
        <v>8858.7757054820831</v>
      </c>
      <c r="I272" s="8">
        <f t="shared" si="14"/>
        <v>138858.77570548208</v>
      </c>
    </row>
    <row r="273" spans="1:9" x14ac:dyDescent="0.25">
      <c r="A273" s="4" t="s">
        <v>222</v>
      </c>
      <c r="B273">
        <v>29</v>
      </c>
      <c r="C273" t="s">
        <v>79</v>
      </c>
      <c r="D273" s="8">
        <v>150000</v>
      </c>
      <c r="E273">
        <v>9</v>
      </c>
      <c r="F273" s="7">
        <v>0.26</v>
      </c>
      <c r="G273" s="9">
        <f t="shared" si="12"/>
        <v>18523.793300417317</v>
      </c>
      <c r="H273" s="8">
        <f t="shared" si="13"/>
        <v>16714.139703755849</v>
      </c>
      <c r="I273" s="8">
        <f t="shared" si="14"/>
        <v>166714.13970375585</v>
      </c>
    </row>
    <row r="274" spans="1:9" x14ac:dyDescent="0.25">
      <c r="A274" s="4" t="s">
        <v>77</v>
      </c>
      <c r="B274">
        <v>21</v>
      </c>
      <c r="C274" t="s">
        <v>25</v>
      </c>
      <c r="D274" s="8">
        <v>100000</v>
      </c>
      <c r="E274">
        <v>7</v>
      </c>
      <c r="F274" s="7">
        <v>0.23</v>
      </c>
      <c r="G274" s="9">
        <f t="shared" si="12"/>
        <v>15401.739561611517</v>
      </c>
      <c r="H274" s="8">
        <f t="shared" si="13"/>
        <v>7812.1769312806136</v>
      </c>
      <c r="I274" s="8">
        <f t="shared" si="14"/>
        <v>107812.17693128061</v>
      </c>
    </row>
    <row r="275" spans="1:9" x14ac:dyDescent="0.25">
      <c r="A275" s="4" t="s">
        <v>204</v>
      </c>
      <c r="B275">
        <v>24</v>
      </c>
      <c r="C275" t="s">
        <v>15</v>
      </c>
      <c r="D275" s="8">
        <v>170000</v>
      </c>
      <c r="E275">
        <v>5</v>
      </c>
      <c r="F275" s="7">
        <v>0.23</v>
      </c>
      <c r="G275" s="9">
        <f t="shared" si="12"/>
        <v>35979.740310221358</v>
      </c>
      <c r="H275" s="8">
        <f t="shared" si="13"/>
        <v>9898.7015511067875</v>
      </c>
      <c r="I275" s="8">
        <f t="shared" si="14"/>
        <v>179898.70155110679</v>
      </c>
    </row>
    <row r="276" spans="1:9" x14ac:dyDescent="0.25">
      <c r="A276" s="4" t="s">
        <v>166</v>
      </c>
      <c r="B276">
        <v>30</v>
      </c>
      <c r="C276" t="s">
        <v>21</v>
      </c>
      <c r="D276" s="8">
        <v>140000</v>
      </c>
      <c r="E276">
        <v>8</v>
      </c>
      <c r="F276" s="7">
        <v>0.25</v>
      </c>
      <c r="G276" s="9">
        <f t="shared" si="12"/>
        <v>19180.073438473082</v>
      </c>
      <c r="H276" s="8">
        <f t="shared" si="13"/>
        <v>13440.587507784658</v>
      </c>
      <c r="I276" s="8">
        <f t="shared" si="14"/>
        <v>153440.58750778466</v>
      </c>
    </row>
    <row r="277" spans="1:9" x14ac:dyDescent="0.25">
      <c r="A277" s="4" t="s">
        <v>223</v>
      </c>
      <c r="B277">
        <v>28</v>
      </c>
      <c r="C277" t="s">
        <v>45</v>
      </c>
      <c r="D277" s="8">
        <v>180000</v>
      </c>
      <c r="E277">
        <v>9</v>
      </c>
      <c r="F277" s="7">
        <v>0.27</v>
      </c>
      <c r="G277" s="9">
        <f t="shared" si="12"/>
        <v>22316.706704108125</v>
      </c>
      <c r="H277" s="8">
        <f t="shared" si="13"/>
        <v>20850.360336973128</v>
      </c>
      <c r="I277" s="8">
        <f t="shared" si="14"/>
        <v>200850.36033697313</v>
      </c>
    </row>
    <row r="278" spans="1:9" x14ac:dyDescent="0.25">
      <c r="A278" s="4" t="s">
        <v>145</v>
      </c>
      <c r="B278">
        <v>30</v>
      </c>
      <c r="C278" t="s">
        <v>23</v>
      </c>
      <c r="D278" s="8">
        <v>170000</v>
      </c>
      <c r="E278">
        <v>5</v>
      </c>
      <c r="F278" s="7">
        <v>0.23</v>
      </c>
      <c r="G278" s="9">
        <f t="shared" si="12"/>
        <v>35979.740310221358</v>
      </c>
      <c r="H278" s="8">
        <f t="shared" si="13"/>
        <v>9898.7015511067875</v>
      </c>
      <c r="I278" s="8">
        <f t="shared" si="14"/>
        <v>179898.70155110679</v>
      </c>
    </row>
    <row r="279" spans="1:9" x14ac:dyDescent="0.25">
      <c r="A279" s="4" t="s">
        <v>224</v>
      </c>
      <c r="B279">
        <v>25</v>
      </c>
      <c r="C279" t="s">
        <v>15</v>
      </c>
      <c r="D279" s="8">
        <v>140000</v>
      </c>
      <c r="E279">
        <v>9</v>
      </c>
      <c r="F279" s="7">
        <v>0.27</v>
      </c>
      <c r="G279" s="9">
        <f t="shared" si="12"/>
        <v>17357.438547639653</v>
      </c>
      <c r="H279" s="8">
        <f t="shared" si="13"/>
        <v>16216.946928756865</v>
      </c>
      <c r="I279" s="8">
        <f t="shared" si="14"/>
        <v>156216.94692875686</v>
      </c>
    </row>
    <row r="280" spans="1:9" x14ac:dyDescent="0.25">
      <c r="A280" s="4" t="s">
        <v>126</v>
      </c>
      <c r="B280">
        <v>25</v>
      </c>
      <c r="C280" t="s">
        <v>23</v>
      </c>
      <c r="D280" s="8">
        <v>150000</v>
      </c>
      <c r="E280">
        <v>7</v>
      </c>
      <c r="F280" s="7">
        <v>0.23</v>
      </c>
      <c r="G280" s="9">
        <f t="shared" si="12"/>
        <v>23102.609342417276</v>
      </c>
      <c r="H280" s="8">
        <f t="shared" si="13"/>
        <v>11718.265396920935</v>
      </c>
      <c r="I280" s="8">
        <f t="shared" si="14"/>
        <v>161718.26539692094</v>
      </c>
    </row>
    <row r="281" spans="1:9" x14ac:dyDescent="0.25">
      <c r="A281" s="4" t="s">
        <v>225</v>
      </c>
      <c r="B281">
        <v>27</v>
      </c>
      <c r="C281" t="s">
        <v>19</v>
      </c>
      <c r="D281" s="8">
        <v>100000</v>
      </c>
      <c r="E281">
        <v>8</v>
      </c>
      <c r="F281" s="7">
        <v>0.28000000000000003</v>
      </c>
      <c r="G281" s="9">
        <f t="shared" si="12"/>
        <v>13847.798360062945</v>
      </c>
      <c r="H281" s="8">
        <f t="shared" si="13"/>
        <v>10782.38688050356</v>
      </c>
      <c r="I281" s="8">
        <f t="shared" si="14"/>
        <v>110782.38688050356</v>
      </c>
    </row>
    <row r="282" spans="1:9" x14ac:dyDescent="0.25">
      <c r="A282" s="4" t="s">
        <v>226</v>
      </c>
      <c r="B282">
        <v>20</v>
      </c>
      <c r="C282" t="s">
        <v>33</v>
      </c>
      <c r="D282" s="8">
        <v>160000</v>
      </c>
      <c r="E282">
        <v>8</v>
      </c>
      <c r="F282" s="7">
        <v>0.28000000000000003</v>
      </c>
      <c r="G282" s="9">
        <f t="shared" si="12"/>
        <v>22156.477376100709</v>
      </c>
      <c r="H282" s="8">
        <f t="shared" si="13"/>
        <v>17251.819008805673</v>
      </c>
      <c r="I282" s="8">
        <f t="shared" si="14"/>
        <v>177251.81900880567</v>
      </c>
    </row>
    <row r="283" spans="1:9" x14ac:dyDescent="0.25">
      <c r="A283" s="4" t="s">
        <v>227</v>
      </c>
      <c r="B283">
        <v>27</v>
      </c>
      <c r="C283" t="s">
        <v>21</v>
      </c>
      <c r="D283" s="8">
        <v>110000</v>
      </c>
      <c r="E283">
        <v>5</v>
      </c>
      <c r="F283" s="7">
        <v>0.23</v>
      </c>
      <c r="G283" s="9">
        <f t="shared" si="12"/>
        <v>23281.008436025586</v>
      </c>
      <c r="H283" s="8">
        <f t="shared" si="13"/>
        <v>6405.0421801279299</v>
      </c>
      <c r="I283" s="8">
        <f t="shared" si="14"/>
        <v>116405.04218012793</v>
      </c>
    </row>
    <row r="284" spans="1:9" x14ac:dyDescent="0.25">
      <c r="A284" s="4" t="s">
        <v>108</v>
      </c>
      <c r="B284">
        <v>29</v>
      </c>
      <c r="C284" t="s">
        <v>79</v>
      </c>
      <c r="D284" s="8">
        <v>100000</v>
      </c>
      <c r="E284">
        <v>8</v>
      </c>
      <c r="F284" s="7">
        <v>0.26</v>
      </c>
      <c r="G284" s="9">
        <f t="shared" si="12"/>
        <v>13749.213129500729</v>
      </c>
      <c r="H284" s="8">
        <f t="shared" si="13"/>
        <v>9993.7050360058347</v>
      </c>
      <c r="I284" s="8">
        <f t="shared" si="14"/>
        <v>109993.70503600583</v>
      </c>
    </row>
    <row r="285" spans="1:9" x14ac:dyDescent="0.25">
      <c r="A285" s="4" t="s">
        <v>197</v>
      </c>
      <c r="B285">
        <v>21</v>
      </c>
      <c r="C285" t="s">
        <v>79</v>
      </c>
      <c r="D285" s="8">
        <v>170000</v>
      </c>
      <c r="E285">
        <v>8</v>
      </c>
      <c r="F285" s="7">
        <v>0.25</v>
      </c>
      <c r="G285" s="9">
        <f t="shared" si="12"/>
        <v>23290.089175288744</v>
      </c>
      <c r="H285" s="8">
        <f t="shared" si="13"/>
        <v>16320.71340230995</v>
      </c>
      <c r="I285" s="8">
        <f t="shared" si="14"/>
        <v>186320.71340230995</v>
      </c>
    </row>
    <row r="286" spans="1:9" x14ac:dyDescent="0.25">
      <c r="A286" s="4" t="s">
        <v>179</v>
      </c>
      <c r="B286">
        <v>21</v>
      </c>
      <c r="C286" t="s">
        <v>15</v>
      </c>
      <c r="D286" s="8">
        <v>170000</v>
      </c>
      <c r="E286">
        <v>8</v>
      </c>
      <c r="F286" s="7">
        <v>0.26</v>
      </c>
      <c r="G286" s="9">
        <f t="shared" si="12"/>
        <v>23373.662320151241</v>
      </c>
      <c r="H286" s="8">
        <f t="shared" si="13"/>
        <v>16989.298561209929</v>
      </c>
      <c r="I286" s="8">
        <f t="shared" si="14"/>
        <v>186989.29856120993</v>
      </c>
    </row>
    <row r="287" spans="1:9" x14ac:dyDescent="0.25">
      <c r="A287" s="4" t="s">
        <v>228</v>
      </c>
      <c r="B287">
        <v>23</v>
      </c>
      <c r="C287" t="s">
        <v>31</v>
      </c>
      <c r="D287" s="8">
        <v>170000</v>
      </c>
      <c r="E287">
        <v>9</v>
      </c>
      <c r="F287" s="7">
        <v>0.27</v>
      </c>
      <c r="G287" s="9">
        <f t="shared" si="12"/>
        <v>21076.889664991006</v>
      </c>
      <c r="H287" s="8">
        <f t="shared" si="13"/>
        <v>19692.006984919048</v>
      </c>
      <c r="I287" s="8">
        <f t="shared" si="14"/>
        <v>189692.00698491905</v>
      </c>
    </row>
    <row r="288" spans="1:9" x14ac:dyDescent="0.25">
      <c r="A288" s="4" t="s">
        <v>229</v>
      </c>
      <c r="B288">
        <v>20</v>
      </c>
      <c r="C288" t="s">
        <v>23</v>
      </c>
      <c r="D288" s="8">
        <v>190000</v>
      </c>
      <c r="E288">
        <v>9</v>
      </c>
      <c r="F288" s="7">
        <v>0.26</v>
      </c>
      <c r="G288" s="9">
        <f t="shared" si="12"/>
        <v>23463.471513861936</v>
      </c>
      <c r="H288" s="8">
        <f t="shared" si="13"/>
        <v>21171.243624757422</v>
      </c>
      <c r="I288" s="8">
        <f t="shared" si="14"/>
        <v>211171.24362475742</v>
      </c>
    </row>
    <row r="289" spans="1:9" x14ac:dyDescent="0.25">
      <c r="A289" s="4" t="s">
        <v>230</v>
      </c>
      <c r="B289">
        <v>30</v>
      </c>
      <c r="C289" t="s">
        <v>19</v>
      </c>
      <c r="D289" s="8">
        <v>100000</v>
      </c>
      <c r="E289">
        <v>5</v>
      </c>
      <c r="F289" s="7">
        <v>0.23</v>
      </c>
      <c r="G289" s="9">
        <f t="shared" si="12"/>
        <v>21164.553123659625</v>
      </c>
      <c r="H289" s="8">
        <f t="shared" si="13"/>
        <v>5822.76561829813</v>
      </c>
      <c r="I289" s="8">
        <f t="shared" si="14"/>
        <v>105822.76561829813</v>
      </c>
    </row>
    <row r="290" spans="1:9" x14ac:dyDescent="0.25">
      <c r="A290" s="4" t="s">
        <v>231</v>
      </c>
      <c r="B290">
        <v>27</v>
      </c>
      <c r="C290" t="s">
        <v>79</v>
      </c>
      <c r="D290" s="8">
        <v>120000</v>
      </c>
      <c r="E290">
        <v>6</v>
      </c>
      <c r="F290" s="7">
        <v>0.21</v>
      </c>
      <c r="G290" s="9">
        <f t="shared" si="12"/>
        <v>21242.706782134737</v>
      </c>
      <c r="H290" s="8">
        <f t="shared" si="13"/>
        <v>7456.2406928084238</v>
      </c>
      <c r="I290" s="8">
        <f t="shared" si="14"/>
        <v>127456.24069280842</v>
      </c>
    </row>
    <row r="291" spans="1:9" x14ac:dyDescent="0.25">
      <c r="A291" s="4" t="s">
        <v>203</v>
      </c>
      <c r="B291">
        <v>21</v>
      </c>
      <c r="C291" t="s">
        <v>79</v>
      </c>
      <c r="D291" s="8">
        <v>100000</v>
      </c>
      <c r="E291">
        <v>8</v>
      </c>
      <c r="F291" s="7">
        <v>0.26</v>
      </c>
      <c r="G291" s="9">
        <f t="shared" si="12"/>
        <v>13749.213129500729</v>
      </c>
      <c r="H291" s="8">
        <f t="shared" si="13"/>
        <v>9993.7050360058347</v>
      </c>
      <c r="I291" s="8">
        <f t="shared" si="14"/>
        <v>109993.70503600583</v>
      </c>
    </row>
    <row r="292" spans="1:9" x14ac:dyDescent="0.25">
      <c r="A292" s="4" t="s">
        <v>159</v>
      </c>
      <c r="B292">
        <v>21</v>
      </c>
      <c r="C292" t="s">
        <v>33</v>
      </c>
      <c r="D292" s="8">
        <v>170000</v>
      </c>
      <c r="E292">
        <v>5</v>
      </c>
      <c r="F292" s="7">
        <v>0.22</v>
      </c>
      <c r="G292" s="9">
        <f t="shared" si="12"/>
        <v>35892.645333655979</v>
      </c>
      <c r="H292" s="8">
        <f t="shared" si="13"/>
        <v>9463.2266682799091</v>
      </c>
      <c r="I292" s="8">
        <f t="shared" si="14"/>
        <v>179463.22666827991</v>
      </c>
    </row>
    <row r="293" spans="1:9" x14ac:dyDescent="0.25">
      <c r="A293" s="4" t="s">
        <v>63</v>
      </c>
      <c r="B293">
        <v>19</v>
      </c>
      <c r="C293" t="s">
        <v>25</v>
      </c>
      <c r="D293" s="8">
        <v>200000</v>
      </c>
      <c r="E293">
        <v>9</v>
      </c>
      <c r="F293" s="7">
        <v>0.28000000000000003</v>
      </c>
      <c r="G293" s="9">
        <f t="shared" si="12"/>
        <v>24894.488710819271</v>
      </c>
      <c r="H293" s="8">
        <f t="shared" si="13"/>
        <v>24050.398397373443</v>
      </c>
      <c r="I293" s="8">
        <f t="shared" si="14"/>
        <v>224050.39839737344</v>
      </c>
    </row>
    <row r="294" spans="1:9" x14ac:dyDescent="0.25">
      <c r="A294" s="4" t="s">
        <v>232</v>
      </c>
      <c r="B294">
        <v>27</v>
      </c>
      <c r="C294" t="s">
        <v>72</v>
      </c>
      <c r="D294" s="8">
        <v>180000</v>
      </c>
      <c r="E294">
        <v>7</v>
      </c>
      <c r="F294" s="7">
        <v>0.24</v>
      </c>
      <c r="G294" s="9">
        <f t="shared" si="12"/>
        <v>27812.152098557915</v>
      </c>
      <c r="H294" s="8">
        <f t="shared" si="13"/>
        <v>14685.064689905412</v>
      </c>
      <c r="I294" s="8">
        <f t="shared" si="14"/>
        <v>194685.06468990541</v>
      </c>
    </row>
    <row r="295" spans="1:9" x14ac:dyDescent="0.25">
      <c r="A295" s="4" t="s">
        <v>233</v>
      </c>
      <c r="B295">
        <v>25</v>
      </c>
      <c r="C295" t="s">
        <v>25</v>
      </c>
      <c r="D295" s="8">
        <v>150000</v>
      </c>
      <c r="E295">
        <v>5</v>
      </c>
      <c r="F295" s="7">
        <v>0.21</v>
      </c>
      <c r="G295" s="9">
        <f t="shared" si="12"/>
        <v>31593.213694890128</v>
      </c>
      <c r="H295" s="8">
        <f t="shared" si="13"/>
        <v>7966.0684744506434</v>
      </c>
      <c r="I295" s="8">
        <f t="shared" si="14"/>
        <v>157966.06847445064</v>
      </c>
    </row>
    <row r="296" spans="1:9" x14ac:dyDescent="0.25">
      <c r="A296" s="4" t="s">
        <v>16</v>
      </c>
      <c r="B296">
        <v>21</v>
      </c>
      <c r="C296" t="s">
        <v>21</v>
      </c>
      <c r="D296" s="8">
        <v>130000</v>
      </c>
      <c r="E296">
        <v>5</v>
      </c>
      <c r="F296" s="7">
        <v>0.21</v>
      </c>
      <c r="G296" s="9">
        <f t="shared" si="12"/>
        <v>27380.785202238112</v>
      </c>
      <c r="H296" s="8">
        <f t="shared" si="13"/>
        <v>6903.9260111905751</v>
      </c>
      <c r="I296" s="8">
        <f t="shared" si="14"/>
        <v>136903.92601119058</v>
      </c>
    </row>
    <row r="297" spans="1:9" x14ac:dyDescent="0.25">
      <c r="A297" s="4" t="s">
        <v>126</v>
      </c>
      <c r="B297">
        <v>26</v>
      </c>
      <c r="C297" t="s">
        <v>79</v>
      </c>
      <c r="D297" s="8">
        <v>160000</v>
      </c>
      <c r="E297">
        <v>7</v>
      </c>
      <c r="F297" s="7">
        <v>0.25</v>
      </c>
      <c r="G297" s="9">
        <f t="shared" si="12"/>
        <v>24801.165686663335</v>
      </c>
      <c r="H297" s="8">
        <f t="shared" si="13"/>
        <v>13608.159806643351</v>
      </c>
      <c r="I297" s="8">
        <f t="shared" si="14"/>
        <v>173608.15980664335</v>
      </c>
    </row>
    <row r="298" spans="1:9" x14ac:dyDescent="0.25">
      <c r="A298" s="4" t="s">
        <v>234</v>
      </c>
      <c r="B298">
        <v>21</v>
      </c>
      <c r="C298" t="s">
        <v>15</v>
      </c>
      <c r="D298" s="8">
        <v>190000</v>
      </c>
      <c r="E298">
        <v>7</v>
      </c>
      <c r="F298" s="7">
        <v>0.25</v>
      </c>
      <c r="G298" s="9">
        <f t="shared" si="12"/>
        <v>29451.384252912714</v>
      </c>
      <c r="H298" s="8">
        <f t="shared" si="13"/>
        <v>16159.689770388999</v>
      </c>
      <c r="I298" s="8">
        <f t="shared" si="14"/>
        <v>206159.689770389</v>
      </c>
    </row>
    <row r="299" spans="1:9" x14ac:dyDescent="0.25">
      <c r="A299" s="4" t="s">
        <v>211</v>
      </c>
      <c r="B299">
        <v>27</v>
      </c>
      <c r="C299" t="s">
        <v>19</v>
      </c>
      <c r="D299" s="8">
        <v>190000</v>
      </c>
      <c r="E299">
        <v>7</v>
      </c>
      <c r="F299" s="7">
        <v>0.23</v>
      </c>
      <c r="G299" s="9">
        <f t="shared" si="12"/>
        <v>29263.305167061884</v>
      </c>
      <c r="H299" s="8">
        <f t="shared" si="13"/>
        <v>14843.136169433186</v>
      </c>
      <c r="I299" s="8">
        <f t="shared" si="14"/>
        <v>204843.13616943319</v>
      </c>
    </row>
    <row r="300" spans="1:9" x14ac:dyDescent="0.25">
      <c r="A300" s="4" t="s">
        <v>55</v>
      </c>
      <c r="B300">
        <v>19</v>
      </c>
      <c r="C300" t="s">
        <v>50</v>
      </c>
      <c r="D300" s="8">
        <v>100000</v>
      </c>
      <c r="E300">
        <v>5</v>
      </c>
      <c r="F300" s="7">
        <v>0.22</v>
      </c>
      <c r="G300" s="9">
        <f t="shared" si="12"/>
        <v>21113.320784503518</v>
      </c>
      <c r="H300" s="8">
        <f t="shared" si="13"/>
        <v>5566.6039225175919</v>
      </c>
      <c r="I300" s="8">
        <f t="shared" si="14"/>
        <v>105566.60392251759</v>
      </c>
    </row>
    <row r="301" spans="1:9" x14ac:dyDescent="0.25">
      <c r="A301" s="4" t="s">
        <v>174</v>
      </c>
      <c r="B301">
        <v>22</v>
      </c>
      <c r="C301" t="s">
        <v>36</v>
      </c>
      <c r="D301" s="8">
        <v>160000</v>
      </c>
      <c r="E301">
        <v>5</v>
      </c>
      <c r="F301" s="7">
        <v>0.23</v>
      </c>
      <c r="G301" s="9">
        <f t="shared" si="12"/>
        <v>33863.2849978554</v>
      </c>
      <c r="H301" s="8">
        <f t="shared" si="13"/>
        <v>9316.4249892770022</v>
      </c>
      <c r="I301" s="8">
        <f t="shared" si="14"/>
        <v>169316.424989277</v>
      </c>
    </row>
    <row r="302" spans="1:9" x14ac:dyDescent="0.25">
      <c r="A302" s="4" t="s">
        <v>107</v>
      </c>
      <c r="B302">
        <v>26</v>
      </c>
      <c r="C302" t="s">
        <v>19</v>
      </c>
      <c r="D302" s="8">
        <v>150000</v>
      </c>
      <c r="E302">
        <v>7</v>
      </c>
      <c r="F302" s="7">
        <v>0.23</v>
      </c>
      <c r="G302" s="9">
        <f t="shared" si="12"/>
        <v>23102.609342417276</v>
      </c>
      <c r="H302" s="8">
        <f t="shared" si="13"/>
        <v>11718.265396920935</v>
      </c>
      <c r="I302" s="8">
        <f t="shared" si="14"/>
        <v>161718.26539692094</v>
      </c>
    </row>
    <row r="303" spans="1:9" x14ac:dyDescent="0.25">
      <c r="A303" s="4" t="s">
        <v>235</v>
      </c>
      <c r="B303">
        <v>19</v>
      </c>
      <c r="C303" t="s">
        <v>33</v>
      </c>
      <c r="D303" s="8">
        <v>170000</v>
      </c>
      <c r="E303">
        <v>6</v>
      </c>
      <c r="F303" s="7">
        <v>0.21</v>
      </c>
      <c r="G303" s="9">
        <f t="shared" si="12"/>
        <v>30093.834608024212</v>
      </c>
      <c r="H303" s="8">
        <f t="shared" si="13"/>
        <v>10563.007648145256</v>
      </c>
      <c r="I303" s="8">
        <f t="shared" si="14"/>
        <v>180563.00764814526</v>
      </c>
    </row>
    <row r="304" spans="1:9" x14ac:dyDescent="0.25">
      <c r="A304" s="4" t="s">
        <v>236</v>
      </c>
      <c r="B304">
        <v>20</v>
      </c>
      <c r="C304" t="s">
        <v>50</v>
      </c>
      <c r="D304" s="8">
        <v>180000</v>
      </c>
      <c r="E304">
        <v>6</v>
      </c>
      <c r="F304" s="7">
        <v>0.23</v>
      </c>
      <c r="G304" s="9">
        <f t="shared" si="12"/>
        <v>32044.332855111246</v>
      </c>
      <c r="H304" s="8">
        <f t="shared" si="13"/>
        <v>12265.997130667471</v>
      </c>
      <c r="I304" s="8">
        <f t="shared" si="14"/>
        <v>192265.99713066747</v>
      </c>
    </row>
    <row r="305" spans="1:9" x14ac:dyDescent="0.25">
      <c r="A305" s="4" t="s">
        <v>49</v>
      </c>
      <c r="B305">
        <v>27</v>
      </c>
      <c r="C305" t="s">
        <v>31</v>
      </c>
      <c r="D305" s="8">
        <v>180000</v>
      </c>
      <c r="E305">
        <v>8</v>
      </c>
      <c r="F305" s="7">
        <v>0.25</v>
      </c>
      <c r="G305" s="9">
        <f t="shared" si="12"/>
        <v>24660.094420893965</v>
      </c>
      <c r="H305" s="8">
        <f t="shared" si="13"/>
        <v>17280.755367151723</v>
      </c>
      <c r="I305" s="8">
        <f t="shared" si="14"/>
        <v>197280.75536715172</v>
      </c>
    </row>
    <row r="306" spans="1:9" x14ac:dyDescent="0.25">
      <c r="A306" s="4" t="s">
        <v>218</v>
      </c>
      <c r="B306">
        <v>23</v>
      </c>
      <c r="C306" t="s">
        <v>23</v>
      </c>
      <c r="D306" s="8">
        <v>170000</v>
      </c>
      <c r="E306">
        <v>9</v>
      </c>
      <c r="F306" s="7">
        <v>0.26</v>
      </c>
      <c r="G306" s="9">
        <f t="shared" si="12"/>
        <v>20993.632407139627</v>
      </c>
      <c r="H306" s="8">
        <f t="shared" si="13"/>
        <v>18942.69166425665</v>
      </c>
      <c r="I306" s="8">
        <f t="shared" si="14"/>
        <v>188942.69166425665</v>
      </c>
    </row>
    <row r="307" spans="1:9" x14ac:dyDescent="0.25">
      <c r="A307" s="4" t="s">
        <v>38</v>
      </c>
      <c r="B307">
        <v>22</v>
      </c>
      <c r="C307" t="s">
        <v>72</v>
      </c>
      <c r="D307" s="8">
        <v>130000</v>
      </c>
      <c r="E307">
        <v>6</v>
      </c>
      <c r="F307" s="7">
        <v>0.23</v>
      </c>
      <c r="G307" s="9">
        <f t="shared" si="12"/>
        <v>23143.129284247014</v>
      </c>
      <c r="H307" s="8">
        <f t="shared" si="13"/>
        <v>8858.7757054820831</v>
      </c>
      <c r="I307" s="8">
        <f t="shared" si="14"/>
        <v>138858.77570548208</v>
      </c>
    </row>
    <row r="308" spans="1:9" x14ac:dyDescent="0.25">
      <c r="A308" s="4" t="s">
        <v>237</v>
      </c>
      <c r="B308">
        <v>29</v>
      </c>
      <c r="C308" t="s">
        <v>79</v>
      </c>
      <c r="D308" s="8">
        <v>120000</v>
      </c>
      <c r="E308">
        <v>7</v>
      </c>
      <c r="F308" s="7">
        <v>0.25</v>
      </c>
      <c r="G308" s="9">
        <f t="shared" si="12"/>
        <v>18600.874264997503</v>
      </c>
      <c r="H308" s="8">
        <f t="shared" si="13"/>
        <v>10206.11985498252</v>
      </c>
      <c r="I308" s="8">
        <f t="shared" si="14"/>
        <v>130206.11985498252</v>
      </c>
    </row>
    <row r="309" spans="1:9" x14ac:dyDescent="0.25">
      <c r="A309" s="4" t="s">
        <v>219</v>
      </c>
      <c r="B309">
        <v>18</v>
      </c>
      <c r="C309" t="s">
        <v>27</v>
      </c>
      <c r="D309" s="8">
        <v>200000</v>
      </c>
      <c r="E309">
        <v>8</v>
      </c>
      <c r="F309" s="7">
        <v>0.26</v>
      </c>
      <c r="G309" s="9">
        <f t="shared" si="12"/>
        <v>27498.426259001459</v>
      </c>
      <c r="H309" s="8">
        <f t="shared" si="13"/>
        <v>19987.410072011669</v>
      </c>
      <c r="I309" s="8">
        <f t="shared" si="14"/>
        <v>219987.41007201167</v>
      </c>
    </row>
    <row r="310" spans="1:9" x14ac:dyDescent="0.25">
      <c r="A310" s="4" t="s">
        <v>37</v>
      </c>
      <c r="B310">
        <v>29</v>
      </c>
      <c r="C310" t="s">
        <v>23</v>
      </c>
      <c r="D310" s="8">
        <v>110000</v>
      </c>
      <c r="E310">
        <v>7</v>
      </c>
      <c r="F310" s="7">
        <v>0.25</v>
      </c>
      <c r="G310" s="9">
        <f t="shared" si="12"/>
        <v>17050.801409581043</v>
      </c>
      <c r="H310" s="8">
        <f t="shared" si="13"/>
        <v>9355.6098670673091</v>
      </c>
      <c r="I310" s="8">
        <f t="shared" si="14"/>
        <v>119355.60986706731</v>
      </c>
    </row>
    <row r="311" spans="1:9" x14ac:dyDescent="0.25">
      <c r="A311" s="4" t="s">
        <v>238</v>
      </c>
      <c r="B311">
        <v>27</v>
      </c>
      <c r="C311" t="s">
        <v>45</v>
      </c>
      <c r="D311" s="8">
        <v>160000</v>
      </c>
      <c r="E311">
        <v>8</v>
      </c>
      <c r="F311" s="7">
        <v>0.28000000000000003</v>
      </c>
      <c r="G311" s="9">
        <f t="shared" si="12"/>
        <v>22156.477376100709</v>
      </c>
      <c r="H311" s="8">
        <f t="shared" si="13"/>
        <v>17251.819008805673</v>
      </c>
      <c r="I311" s="8">
        <f t="shared" si="14"/>
        <v>177251.81900880567</v>
      </c>
    </row>
    <row r="312" spans="1:9" x14ac:dyDescent="0.25">
      <c r="A312" s="4" t="s">
        <v>239</v>
      </c>
      <c r="B312">
        <v>24</v>
      </c>
      <c r="C312" t="s">
        <v>62</v>
      </c>
      <c r="D312" s="8">
        <v>160000</v>
      </c>
      <c r="E312">
        <v>8</v>
      </c>
      <c r="F312" s="7">
        <v>0.26</v>
      </c>
      <c r="G312" s="9">
        <f t="shared" si="12"/>
        <v>21998.741007201166</v>
      </c>
      <c r="H312" s="8">
        <f t="shared" si="13"/>
        <v>15989.92805760933</v>
      </c>
      <c r="I312" s="8">
        <f t="shared" si="14"/>
        <v>175989.92805760933</v>
      </c>
    </row>
    <row r="313" spans="1:9" x14ac:dyDescent="0.25">
      <c r="A313" s="4" t="s">
        <v>107</v>
      </c>
      <c r="B313">
        <v>24</v>
      </c>
      <c r="C313" t="s">
        <v>27</v>
      </c>
      <c r="D313" s="8">
        <v>100000</v>
      </c>
      <c r="E313">
        <v>8</v>
      </c>
      <c r="F313" s="7">
        <v>0.26</v>
      </c>
      <c r="G313" s="9">
        <f t="shared" si="12"/>
        <v>13749.213129500729</v>
      </c>
      <c r="H313" s="8">
        <f t="shared" si="13"/>
        <v>9993.7050360058347</v>
      </c>
      <c r="I313" s="8">
        <f t="shared" si="14"/>
        <v>109993.70503600583</v>
      </c>
    </row>
    <row r="314" spans="1:9" x14ac:dyDescent="0.25">
      <c r="A314" s="4" t="s">
        <v>171</v>
      </c>
      <c r="B314">
        <v>30</v>
      </c>
      <c r="C314" t="s">
        <v>23</v>
      </c>
      <c r="D314" s="8">
        <v>150000</v>
      </c>
      <c r="E314">
        <v>8</v>
      </c>
      <c r="F314" s="7">
        <v>0.25</v>
      </c>
      <c r="G314" s="9">
        <f t="shared" si="12"/>
        <v>20550.078684078304</v>
      </c>
      <c r="H314" s="8">
        <f t="shared" si="13"/>
        <v>14400.629472626431</v>
      </c>
      <c r="I314" s="8">
        <f t="shared" si="14"/>
        <v>164400.62947262643</v>
      </c>
    </row>
    <row r="315" spans="1:9" x14ac:dyDescent="0.25">
      <c r="A315" s="4" t="s">
        <v>76</v>
      </c>
      <c r="B315">
        <v>25</v>
      </c>
      <c r="C315" t="s">
        <v>19</v>
      </c>
      <c r="D315" s="8">
        <v>140000</v>
      </c>
      <c r="E315">
        <v>6</v>
      </c>
      <c r="F315" s="7">
        <v>0.23</v>
      </c>
      <c r="G315" s="9">
        <f t="shared" si="12"/>
        <v>24923.369998419857</v>
      </c>
      <c r="H315" s="8">
        <f t="shared" si="13"/>
        <v>9540.2199905191374</v>
      </c>
      <c r="I315" s="8">
        <f t="shared" si="14"/>
        <v>149540.21999051914</v>
      </c>
    </row>
    <row r="316" spans="1:9" x14ac:dyDescent="0.25">
      <c r="A316" s="4" t="s">
        <v>151</v>
      </c>
      <c r="B316">
        <v>28</v>
      </c>
      <c r="C316" t="s">
        <v>31</v>
      </c>
      <c r="D316" s="8">
        <v>200000</v>
      </c>
      <c r="E316">
        <v>6</v>
      </c>
      <c r="F316" s="7">
        <v>0.23</v>
      </c>
      <c r="G316" s="9">
        <f t="shared" si="12"/>
        <v>35604.814283456937</v>
      </c>
      <c r="H316" s="8">
        <f t="shared" si="13"/>
        <v>13628.885700741608</v>
      </c>
      <c r="I316" s="8">
        <f t="shared" si="14"/>
        <v>213628.88570074161</v>
      </c>
    </row>
    <row r="317" spans="1:9" x14ac:dyDescent="0.25">
      <c r="A317" s="4" t="s">
        <v>240</v>
      </c>
      <c r="B317">
        <v>29</v>
      </c>
      <c r="C317" t="s">
        <v>31</v>
      </c>
      <c r="D317" s="8">
        <v>120000</v>
      </c>
      <c r="E317">
        <v>9</v>
      </c>
      <c r="F317" s="7">
        <v>0.28000000000000003</v>
      </c>
      <c r="G317" s="9">
        <f t="shared" si="12"/>
        <v>14936.693226491561</v>
      </c>
      <c r="H317" s="8">
        <f t="shared" si="13"/>
        <v>14430.239038424043</v>
      </c>
      <c r="I317" s="8">
        <f t="shared" si="14"/>
        <v>134430.23903842404</v>
      </c>
    </row>
    <row r="318" spans="1:9" x14ac:dyDescent="0.25">
      <c r="A318" s="4" t="s">
        <v>241</v>
      </c>
      <c r="B318">
        <v>25</v>
      </c>
      <c r="C318" t="s">
        <v>62</v>
      </c>
      <c r="D318" s="8">
        <v>140000</v>
      </c>
      <c r="E318">
        <v>8</v>
      </c>
      <c r="F318" s="7">
        <v>0.28000000000000003</v>
      </c>
      <c r="G318" s="9">
        <f t="shared" si="12"/>
        <v>19386.917704088122</v>
      </c>
      <c r="H318" s="8">
        <f t="shared" si="13"/>
        <v>15095.341632704978</v>
      </c>
      <c r="I318" s="8">
        <f t="shared" si="14"/>
        <v>155095.34163270498</v>
      </c>
    </row>
    <row r="319" spans="1:9" x14ac:dyDescent="0.25">
      <c r="A319" s="4" t="s">
        <v>242</v>
      </c>
      <c r="B319">
        <v>29</v>
      </c>
      <c r="C319" t="s">
        <v>27</v>
      </c>
      <c r="D319" s="8">
        <v>190000</v>
      </c>
      <c r="E319">
        <v>6</v>
      </c>
      <c r="F319" s="7">
        <v>0.21</v>
      </c>
      <c r="G319" s="9">
        <f t="shared" si="12"/>
        <v>33634.28573838</v>
      </c>
      <c r="H319" s="8">
        <f t="shared" si="13"/>
        <v>11805.714430280001</v>
      </c>
      <c r="I319" s="8">
        <f t="shared" si="14"/>
        <v>201805.71443028</v>
      </c>
    </row>
    <row r="320" spans="1:9" x14ac:dyDescent="0.25">
      <c r="A320" s="4" t="s">
        <v>166</v>
      </c>
      <c r="B320">
        <v>24</v>
      </c>
      <c r="C320" t="s">
        <v>21</v>
      </c>
      <c r="D320" s="8">
        <v>150000</v>
      </c>
      <c r="E320">
        <v>9</v>
      </c>
      <c r="F320" s="7">
        <v>0.26</v>
      </c>
      <c r="G320" s="9">
        <f t="shared" si="12"/>
        <v>18523.793300417317</v>
      </c>
      <c r="H320" s="8">
        <f t="shared" si="13"/>
        <v>16714.139703755849</v>
      </c>
      <c r="I320" s="8">
        <f t="shared" si="14"/>
        <v>166714.13970375585</v>
      </c>
    </row>
    <row r="321" spans="1:9" x14ac:dyDescent="0.25">
      <c r="A321" s="4" t="s">
        <v>184</v>
      </c>
      <c r="B321">
        <v>25</v>
      </c>
      <c r="C321" t="s">
        <v>79</v>
      </c>
      <c r="D321" s="8">
        <v>200000</v>
      </c>
      <c r="E321">
        <v>8</v>
      </c>
      <c r="F321" s="7">
        <v>0.25</v>
      </c>
      <c r="G321" s="9">
        <f t="shared" si="12"/>
        <v>27400.104912104405</v>
      </c>
      <c r="H321" s="8">
        <f t="shared" si="13"/>
        <v>19200.839296835242</v>
      </c>
      <c r="I321" s="8">
        <f t="shared" si="14"/>
        <v>219200.83929683524</v>
      </c>
    </row>
    <row r="322" spans="1:9" x14ac:dyDescent="0.25">
      <c r="A322" s="4" t="s">
        <v>243</v>
      </c>
      <c r="B322">
        <v>18</v>
      </c>
      <c r="C322" t="s">
        <v>21</v>
      </c>
      <c r="D322" s="8">
        <v>150000</v>
      </c>
      <c r="E322">
        <v>7</v>
      </c>
      <c r="F322" s="7">
        <v>0.24</v>
      </c>
      <c r="G322" s="9">
        <f t="shared" si="12"/>
        <v>23176.79341546493</v>
      </c>
      <c r="H322" s="8">
        <f t="shared" si="13"/>
        <v>12237.553908254515</v>
      </c>
      <c r="I322" s="8">
        <f t="shared" si="14"/>
        <v>162237.55390825451</v>
      </c>
    </row>
    <row r="323" spans="1:9" x14ac:dyDescent="0.25">
      <c r="A323" s="4" t="s">
        <v>244</v>
      </c>
      <c r="B323">
        <v>30</v>
      </c>
      <c r="C323" t="s">
        <v>25</v>
      </c>
      <c r="D323" s="8">
        <v>160000</v>
      </c>
      <c r="E323">
        <v>5</v>
      </c>
      <c r="F323" s="7">
        <v>0.23</v>
      </c>
      <c r="G323" s="9">
        <f t="shared" si="12"/>
        <v>33863.2849978554</v>
      </c>
      <c r="H323" s="8">
        <f t="shared" si="13"/>
        <v>9316.4249892770022</v>
      </c>
      <c r="I323" s="8">
        <f t="shared" si="14"/>
        <v>169316.424989277</v>
      </c>
    </row>
    <row r="324" spans="1:9" x14ac:dyDescent="0.25">
      <c r="A324" s="4" t="s">
        <v>245</v>
      </c>
      <c r="B324">
        <v>20</v>
      </c>
      <c r="C324" t="s">
        <v>45</v>
      </c>
      <c r="D324" s="8">
        <v>150000</v>
      </c>
      <c r="E324">
        <v>9</v>
      </c>
      <c r="F324" s="7">
        <v>0.28000000000000003</v>
      </c>
      <c r="G324" s="9">
        <f t="shared" si="12"/>
        <v>18670.866533114455</v>
      </c>
      <c r="H324" s="8">
        <f t="shared" si="13"/>
        <v>18037.798798030097</v>
      </c>
      <c r="I324" s="8">
        <f t="shared" si="14"/>
        <v>168037.7987980301</v>
      </c>
    </row>
    <row r="325" spans="1:9" x14ac:dyDescent="0.25">
      <c r="A325" s="4" t="s">
        <v>153</v>
      </c>
      <c r="B325">
        <v>24</v>
      </c>
      <c r="C325" t="s">
        <v>45</v>
      </c>
      <c r="D325" s="8">
        <v>140000</v>
      </c>
      <c r="E325">
        <v>8</v>
      </c>
      <c r="F325" s="7">
        <v>0.25</v>
      </c>
      <c r="G325" s="9">
        <f t="shared" si="12"/>
        <v>19180.073438473082</v>
      </c>
      <c r="H325" s="8">
        <f t="shared" si="13"/>
        <v>13440.587507784658</v>
      </c>
      <c r="I325" s="8">
        <f t="shared" si="14"/>
        <v>153440.58750778466</v>
      </c>
    </row>
    <row r="326" spans="1:9" x14ac:dyDescent="0.25">
      <c r="A326" s="4" t="s">
        <v>103</v>
      </c>
      <c r="B326">
        <v>23</v>
      </c>
      <c r="C326" t="s">
        <v>23</v>
      </c>
      <c r="D326" s="8">
        <v>160000</v>
      </c>
      <c r="E326">
        <v>7</v>
      </c>
      <c r="F326" s="7">
        <v>0.25</v>
      </c>
      <c r="G326" s="9">
        <f t="shared" ref="G326:G389" si="15">PMT(F326/12,E326,-D326)</f>
        <v>24801.165686663335</v>
      </c>
      <c r="H326" s="8">
        <f t="shared" ref="H326:H389" si="16">I326-D326</f>
        <v>13608.159806643351</v>
      </c>
      <c r="I326" s="8">
        <f t="shared" ref="I326:I389" si="17">PRODUCT(G326,E326)</f>
        <v>173608.15980664335</v>
      </c>
    </row>
    <row r="327" spans="1:9" x14ac:dyDescent="0.25">
      <c r="A327" s="4" t="s">
        <v>246</v>
      </c>
      <c r="B327">
        <v>29</v>
      </c>
      <c r="C327" t="s">
        <v>25</v>
      </c>
      <c r="D327" s="8">
        <v>150000</v>
      </c>
      <c r="E327">
        <v>8</v>
      </c>
      <c r="F327" s="7">
        <v>0.27</v>
      </c>
      <c r="G327" s="9">
        <f t="shared" si="15"/>
        <v>20697.692710009553</v>
      </c>
      <c r="H327" s="8">
        <f t="shared" si="16"/>
        <v>15581.541680076421</v>
      </c>
      <c r="I327" s="8">
        <f t="shared" si="17"/>
        <v>165581.54168007642</v>
      </c>
    </row>
    <row r="328" spans="1:9" x14ac:dyDescent="0.25">
      <c r="A328" s="4" t="s">
        <v>247</v>
      </c>
      <c r="B328">
        <v>26</v>
      </c>
      <c r="C328" t="s">
        <v>21</v>
      </c>
      <c r="D328" s="8">
        <v>190000</v>
      </c>
      <c r="E328">
        <v>7</v>
      </c>
      <c r="F328" s="7">
        <v>0.24</v>
      </c>
      <c r="G328" s="9">
        <f t="shared" si="15"/>
        <v>29357.271659588911</v>
      </c>
      <c r="H328" s="8">
        <f t="shared" si="16"/>
        <v>15500.901617122378</v>
      </c>
      <c r="I328" s="8">
        <f t="shared" si="17"/>
        <v>205500.90161712238</v>
      </c>
    </row>
    <row r="329" spans="1:9" x14ac:dyDescent="0.25">
      <c r="A329" s="4" t="s">
        <v>136</v>
      </c>
      <c r="B329">
        <v>18</v>
      </c>
      <c r="C329" t="s">
        <v>62</v>
      </c>
      <c r="D329" s="8">
        <v>190000</v>
      </c>
      <c r="E329">
        <v>8</v>
      </c>
      <c r="F329" s="7">
        <v>0.28000000000000003</v>
      </c>
      <c r="G329" s="9">
        <f t="shared" si="15"/>
        <v>26310.816884119595</v>
      </c>
      <c r="H329" s="8">
        <f t="shared" si="16"/>
        <v>20486.535072956758</v>
      </c>
      <c r="I329" s="8">
        <f t="shared" si="17"/>
        <v>210486.53507295676</v>
      </c>
    </row>
    <row r="330" spans="1:9" x14ac:dyDescent="0.25">
      <c r="A330" s="4" t="s">
        <v>206</v>
      </c>
      <c r="B330">
        <v>29</v>
      </c>
      <c r="C330" t="s">
        <v>33</v>
      </c>
      <c r="D330" s="8">
        <v>180000</v>
      </c>
      <c r="E330">
        <v>7</v>
      </c>
      <c r="F330" s="7">
        <v>0.25</v>
      </c>
      <c r="G330" s="9">
        <f t="shared" si="15"/>
        <v>27901.311397496251</v>
      </c>
      <c r="H330" s="8">
        <f t="shared" si="16"/>
        <v>15309.179782473744</v>
      </c>
      <c r="I330" s="8">
        <f t="shared" si="17"/>
        <v>195309.17978247374</v>
      </c>
    </row>
    <row r="331" spans="1:9" x14ac:dyDescent="0.25">
      <c r="A331" s="4" t="s">
        <v>243</v>
      </c>
      <c r="B331">
        <v>29</v>
      </c>
      <c r="C331" t="s">
        <v>50</v>
      </c>
      <c r="D331" s="8">
        <v>140000</v>
      </c>
      <c r="E331">
        <v>7</v>
      </c>
      <c r="F331" s="7">
        <v>0.25</v>
      </c>
      <c r="G331" s="9">
        <f t="shared" si="15"/>
        <v>21701.019975830419</v>
      </c>
      <c r="H331" s="8">
        <f t="shared" si="16"/>
        <v>11907.139830812928</v>
      </c>
      <c r="I331" s="8">
        <f t="shared" si="17"/>
        <v>151907.13983081293</v>
      </c>
    </row>
    <row r="332" spans="1:9" x14ac:dyDescent="0.25">
      <c r="A332" s="4" t="s">
        <v>248</v>
      </c>
      <c r="B332">
        <v>22</v>
      </c>
      <c r="C332" t="s">
        <v>36</v>
      </c>
      <c r="D332" s="8">
        <v>130000</v>
      </c>
      <c r="E332">
        <v>8</v>
      </c>
      <c r="F332" s="7">
        <v>0.28000000000000003</v>
      </c>
      <c r="G332" s="9">
        <f t="shared" si="15"/>
        <v>18002.137868081827</v>
      </c>
      <c r="H332" s="8">
        <f t="shared" si="16"/>
        <v>14017.102944654616</v>
      </c>
      <c r="I332" s="8">
        <f t="shared" si="17"/>
        <v>144017.10294465462</v>
      </c>
    </row>
    <row r="333" spans="1:9" x14ac:dyDescent="0.25">
      <c r="A333" s="4" t="s">
        <v>249</v>
      </c>
      <c r="B333">
        <v>26</v>
      </c>
      <c r="C333" t="s">
        <v>17</v>
      </c>
      <c r="D333" s="8">
        <v>150000</v>
      </c>
      <c r="E333">
        <v>7</v>
      </c>
      <c r="F333" s="7">
        <v>0.23</v>
      </c>
      <c r="G333" s="9">
        <f t="shared" si="15"/>
        <v>23102.609342417276</v>
      </c>
      <c r="H333" s="8">
        <f t="shared" si="16"/>
        <v>11718.265396920935</v>
      </c>
      <c r="I333" s="8">
        <f t="shared" si="17"/>
        <v>161718.26539692094</v>
      </c>
    </row>
    <row r="334" spans="1:9" x14ac:dyDescent="0.25">
      <c r="A334" s="4" t="s">
        <v>250</v>
      </c>
      <c r="B334">
        <v>19</v>
      </c>
      <c r="C334" t="s">
        <v>79</v>
      </c>
      <c r="D334" s="8">
        <v>180000</v>
      </c>
      <c r="E334">
        <v>7</v>
      </c>
      <c r="F334" s="7">
        <v>0.24</v>
      </c>
      <c r="G334" s="9">
        <f t="shared" si="15"/>
        <v>27812.152098557915</v>
      </c>
      <c r="H334" s="8">
        <f t="shared" si="16"/>
        <v>14685.064689905412</v>
      </c>
      <c r="I334" s="8">
        <f t="shared" si="17"/>
        <v>194685.06468990541</v>
      </c>
    </row>
    <row r="335" spans="1:9" x14ac:dyDescent="0.25">
      <c r="A335" s="4" t="s">
        <v>163</v>
      </c>
      <c r="B335">
        <v>22</v>
      </c>
      <c r="C335" t="s">
        <v>36</v>
      </c>
      <c r="D335" s="8">
        <v>190000</v>
      </c>
      <c r="E335">
        <v>9</v>
      </c>
      <c r="F335" s="7">
        <v>0.26</v>
      </c>
      <c r="G335" s="9">
        <f t="shared" si="15"/>
        <v>23463.471513861936</v>
      </c>
      <c r="H335" s="8">
        <f t="shared" si="16"/>
        <v>21171.243624757422</v>
      </c>
      <c r="I335" s="8">
        <f t="shared" si="17"/>
        <v>211171.24362475742</v>
      </c>
    </row>
    <row r="336" spans="1:9" x14ac:dyDescent="0.25">
      <c r="A336" s="4" t="s">
        <v>56</v>
      </c>
      <c r="B336">
        <v>19</v>
      </c>
      <c r="C336" t="s">
        <v>36</v>
      </c>
      <c r="D336" s="8">
        <v>180000</v>
      </c>
      <c r="E336">
        <v>8</v>
      </c>
      <c r="F336" s="7">
        <v>0.25</v>
      </c>
      <c r="G336" s="9">
        <f t="shared" si="15"/>
        <v>24660.094420893965</v>
      </c>
      <c r="H336" s="8">
        <f t="shared" si="16"/>
        <v>17280.755367151723</v>
      </c>
      <c r="I336" s="8">
        <f t="shared" si="17"/>
        <v>197280.75536715172</v>
      </c>
    </row>
    <row r="337" spans="1:9" x14ac:dyDescent="0.25">
      <c r="A337" s="4" t="s">
        <v>251</v>
      </c>
      <c r="B337">
        <v>19</v>
      </c>
      <c r="C337" t="s">
        <v>17</v>
      </c>
      <c r="D337" s="8">
        <v>190000</v>
      </c>
      <c r="E337">
        <v>5</v>
      </c>
      <c r="F337" s="7">
        <v>0.21</v>
      </c>
      <c r="G337" s="9">
        <f t="shared" si="15"/>
        <v>40018.070680194171</v>
      </c>
      <c r="H337" s="8">
        <f t="shared" si="16"/>
        <v>10090.353400970867</v>
      </c>
      <c r="I337" s="8">
        <f t="shared" si="17"/>
        <v>200090.35340097087</v>
      </c>
    </row>
    <row r="338" spans="1:9" x14ac:dyDescent="0.25">
      <c r="A338" s="4" t="s">
        <v>252</v>
      </c>
      <c r="B338">
        <v>20</v>
      </c>
      <c r="C338" t="s">
        <v>45</v>
      </c>
      <c r="D338" s="8">
        <v>180000</v>
      </c>
      <c r="E338">
        <v>9</v>
      </c>
      <c r="F338" s="7">
        <v>0.28000000000000003</v>
      </c>
      <c r="G338" s="9">
        <f t="shared" si="15"/>
        <v>22405.039839737343</v>
      </c>
      <c r="H338" s="8">
        <f t="shared" si="16"/>
        <v>21645.358557636093</v>
      </c>
      <c r="I338" s="8">
        <f t="shared" si="17"/>
        <v>201645.35855763609</v>
      </c>
    </row>
    <row r="339" spans="1:9" x14ac:dyDescent="0.25">
      <c r="A339" s="4" t="s">
        <v>253</v>
      </c>
      <c r="B339">
        <v>20</v>
      </c>
      <c r="C339" t="s">
        <v>21</v>
      </c>
      <c r="D339" s="8">
        <v>160000</v>
      </c>
      <c r="E339">
        <v>7</v>
      </c>
      <c r="F339" s="7">
        <v>0.24</v>
      </c>
      <c r="G339" s="9">
        <f t="shared" si="15"/>
        <v>24721.912976495925</v>
      </c>
      <c r="H339" s="8">
        <f t="shared" si="16"/>
        <v>13053.39083547148</v>
      </c>
      <c r="I339" s="8">
        <f t="shared" si="17"/>
        <v>173053.39083547148</v>
      </c>
    </row>
    <row r="340" spans="1:9" x14ac:dyDescent="0.25">
      <c r="A340" s="4" t="s">
        <v>150</v>
      </c>
      <c r="B340">
        <v>29</v>
      </c>
      <c r="C340" t="s">
        <v>36</v>
      </c>
      <c r="D340" s="8">
        <v>120000</v>
      </c>
      <c r="E340">
        <v>7</v>
      </c>
      <c r="F340" s="7">
        <v>0.23</v>
      </c>
      <c r="G340" s="9">
        <f t="shared" si="15"/>
        <v>18482.087473933821</v>
      </c>
      <c r="H340" s="8">
        <f t="shared" si="16"/>
        <v>9374.6123175367538</v>
      </c>
      <c r="I340" s="8">
        <f t="shared" si="17"/>
        <v>129374.61231753675</v>
      </c>
    </row>
    <row r="341" spans="1:9" x14ac:dyDescent="0.25">
      <c r="A341" s="4" t="s">
        <v>254</v>
      </c>
      <c r="B341">
        <v>21</v>
      </c>
      <c r="C341" t="s">
        <v>17</v>
      </c>
      <c r="D341" s="8">
        <v>180000</v>
      </c>
      <c r="E341">
        <v>7</v>
      </c>
      <c r="F341" s="7">
        <v>0.23</v>
      </c>
      <c r="G341" s="9">
        <f t="shared" si="15"/>
        <v>27723.13121090073</v>
      </c>
      <c r="H341" s="8">
        <f t="shared" si="16"/>
        <v>14061.918476305116</v>
      </c>
      <c r="I341" s="8">
        <f t="shared" si="17"/>
        <v>194061.91847630512</v>
      </c>
    </row>
    <row r="342" spans="1:9" x14ac:dyDescent="0.25">
      <c r="A342" s="4" t="s">
        <v>235</v>
      </c>
      <c r="B342">
        <v>30</v>
      </c>
      <c r="C342" t="s">
        <v>15</v>
      </c>
      <c r="D342" s="8">
        <v>180000</v>
      </c>
      <c r="E342">
        <v>6</v>
      </c>
      <c r="F342" s="7">
        <v>0.22</v>
      </c>
      <c r="G342" s="9">
        <f t="shared" si="15"/>
        <v>31954.137453513467</v>
      </c>
      <c r="H342" s="8">
        <f t="shared" si="16"/>
        <v>11724.824721080804</v>
      </c>
      <c r="I342" s="8">
        <f t="shared" si="17"/>
        <v>191724.8247210808</v>
      </c>
    </row>
    <row r="343" spans="1:9" x14ac:dyDescent="0.25">
      <c r="A343" s="4" t="s">
        <v>255</v>
      </c>
      <c r="B343">
        <v>29</v>
      </c>
      <c r="C343" t="s">
        <v>33</v>
      </c>
      <c r="D343" s="8">
        <v>110000</v>
      </c>
      <c r="E343">
        <v>8</v>
      </c>
      <c r="F343" s="7">
        <v>0.27</v>
      </c>
      <c r="G343" s="9">
        <f t="shared" si="15"/>
        <v>15178.307987340337</v>
      </c>
      <c r="H343" s="8">
        <f t="shared" si="16"/>
        <v>11426.463898722694</v>
      </c>
      <c r="I343" s="8">
        <f t="shared" si="17"/>
        <v>121426.46389872269</v>
      </c>
    </row>
    <row r="344" spans="1:9" x14ac:dyDescent="0.25">
      <c r="A344" s="4" t="s">
        <v>256</v>
      </c>
      <c r="B344">
        <v>23</v>
      </c>
      <c r="C344" t="s">
        <v>72</v>
      </c>
      <c r="D344" s="8">
        <v>190000</v>
      </c>
      <c r="E344">
        <v>5</v>
      </c>
      <c r="F344" s="7">
        <v>0.21</v>
      </c>
      <c r="G344" s="9">
        <f t="shared" si="15"/>
        <v>40018.070680194171</v>
      </c>
      <c r="H344" s="8">
        <f t="shared" si="16"/>
        <v>10090.353400970867</v>
      </c>
      <c r="I344" s="8">
        <f t="shared" si="17"/>
        <v>200090.35340097087</v>
      </c>
    </row>
    <row r="345" spans="1:9" x14ac:dyDescent="0.25">
      <c r="A345" s="4" t="s">
        <v>229</v>
      </c>
      <c r="B345">
        <v>20</v>
      </c>
      <c r="C345" t="s">
        <v>79</v>
      </c>
      <c r="D345" s="8">
        <v>120000</v>
      </c>
      <c r="E345">
        <v>8</v>
      </c>
      <c r="F345" s="7">
        <v>0.26</v>
      </c>
      <c r="G345" s="9">
        <f t="shared" si="15"/>
        <v>16499.055755400877</v>
      </c>
      <c r="H345" s="8">
        <f t="shared" si="16"/>
        <v>11992.446043207019</v>
      </c>
      <c r="I345" s="8">
        <f t="shared" si="17"/>
        <v>131992.44604320702</v>
      </c>
    </row>
    <row r="346" spans="1:9" x14ac:dyDescent="0.25">
      <c r="A346" s="4" t="s">
        <v>257</v>
      </c>
      <c r="B346">
        <v>19</v>
      </c>
      <c r="C346" t="s">
        <v>25</v>
      </c>
      <c r="D346" s="8">
        <v>180000</v>
      </c>
      <c r="E346">
        <v>7</v>
      </c>
      <c r="F346" s="7">
        <v>0.24</v>
      </c>
      <c r="G346" s="9">
        <f t="shared" si="15"/>
        <v>27812.152098557915</v>
      </c>
      <c r="H346" s="8">
        <f t="shared" si="16"/>
        <v>14685.064689905412</v>
      </c>
      <c r="I346" s="8">
        <f t="shared" si="17"/>
        <v>194685.06468990541</v>
      </c>
    </row>
    <row r="347" spans="1:9" x14ac:dyDescent="0.25">
      <c r="A347" s="4" t="s">
        <v>169</v>
      </c>
      <c r="B347">
        <v>25</v>
      </c>
      <c r="C347" t="s">
        <v>27</v>
      </c>
      <c r="D347" s="8">
        <v>200000</v>
      </c>
      <c r="E347">
        <v>5</v>
      </c>
      <c r="F347" s="7">
        <v>0.21</v>
      </c>
      <c r="G347" s="9">
        <f t="shared" si="15"/>
        <v>42124.284926520173</v>
      </c>
      <c r="H347" s="8">
        <f t="shared" si="16"/>
        <v>10621.424632600858</v>
      </c>
      <c r="I347" s="8">
        <f t="shared" si="17"/>
        <v>210621.42463260086</v>
      </c>
    </row>
    <row r="348" spans="1:9" x14ac:dyDescent="0.25">
      <c r="A348" s="4" t="s">
        <v>217</v>
      </c>
      <c r="B348">
        <v>25</v>
      </c>
      <c r="C348" t="s">
        <v>19</v>
      </c>
      <c r="D348" s="8">
        <v>140000</v>
      </c>
      <c r="E348">
        <v>9</v>
      </c>
      <c r="F348" s="7">
        <v>0.26</v>
      </c>
      <c r="G348" s="9">
        <f t="shared" si="15"/>
        <v>17288.873747056161</v>
      </c>
      <c r="H348" s="8">
        <f t="shared" si="16"/>
        <v>15599.863723505463</v>
      </c>
      <c r="I348" s="8">
        <f t="shared" si="17"/>
        <v>155599.86372350546</v>
      </c>
    </row>
    <row r="349" spans="1:9" x14ac:dyDescent="0.25">
      <c r="A349" s="4" t="s">
        <v>42</v>
      </c>
      <c r="B349">
        <v>24</v>
      </c>
      <c r="C349" t="s">
        <v>45</v>
      </c>
      <c r="D349" s="8">
        <v>190000</v>
      </c>
      <c r="E349">
        <v>5</v>
      </c>
      <c r="F349" s="7">
        <v>0.21</v>
      </c>
      <c r="G349" s="9">
        <f t="shared" si="15"/>
        <v>40018.070680194171</v>
      </c>
      <c r="H349" s="8">
        <f t="shared" si="16"/>
        <v>10090.353400970867</v>
      </c>
      <c r="I349" s="8">
        <f t="shared" si="17"/>
        <v>200090.35340097087</v>
      </c>
    </row>
    <row r="350" spans="1:9" x14ac:dyDescent="0.25">
      <c r="A350" s="4" t="s">
        <v>192</v>
      </c>
      <c r="B350">
        <v>24</v>
      </c>
      <c r="C350" t="s">
        <v>72</v>
      </c>
      <c r="D350" s="8">
        <v>130000</v>
      </c>
      <c r="E350">
        <v>7</v>
      </c>
      <c r="F350" s="7">
        <v>0.25</v>
      </c>
      <c r="G350" s="9">
        <f t="shared" si="15"/>
        <v>20150.947120413959</v>
      </c>
      <c r="H350" s="8">
        <f t="shared" si="16"/>
        <v>11056.629842897702</v>
      </c>
      <c r="I350" s="8">
        <f t="shared" si="17"/>
        <v>141056.6298428977</v>
      </c>
    </row>
    <row r="351" spans="1:9" x14ac:dyDescent="0.25">
      <c r="A351" s="4" t="s">
        <v>258</v>
      </c>
      <c r="B351">
        <v>21</v>
      </c>
      <c r="C351" t="s">
        <v>33</v>
      </c>
      <c r="D351" s="8">
        <v>120000</v>
      </c>
      <c r="E351">
        <v>9</v>
      </c>
      <c r="F351" s="7">
        <v>0.25</v>
      </c>
      <c r="G351" s="9">
        <f t="shared" si="15"/>
        <v>14760.383919040682</v>
      </c>
      <c r="H351" s="8">
        <f t="shared" si="16"/>
        <v>12843.45527136614</v>
      </c>
      <c r="I351" s="8">
        <f t="shared" si="17"/>
        <v>132843.45527136614</v>
      </c>
    </row>
    <row r="352" spans="1:9" x14ac:dyDescent="0.25">
      <c r="A352" s="4" t="s">
        <v>128</v>
      </c>
      <c r="B352">
        <v>20</v>
      </c>
      <c r="C352" t="s">
        <v>23</v>
      </c>
      <c r="D352" s="8">
        <v>150000</v>
      </c>
      <c r="E352">
        <v>9</v>
      </c>
      <c r="F352" s="7">
        <v>0.25</v>
      </c>
      <c r="G352" s="9">
        <f t="shared" si="15"/>
        <v>18450.479898800852</v>
      </c>
      <c r="H352" s="8">
        <f t="shared" si="16"/>
        <v>16054.319089207653</v>
      </c>
      <c r="I352" s="8">
        <f t="shared" si="17"/>
        <v>166054.31908920765</v>
      </c>
    </row>
    <row r="353" spans="1:9" x14ac:dyDescent="0.25">
      <c r="A353" s="4" t="s">
        <v>259</v>
      </c>
      <c r="B353">
        <v>30</v>
      </c>
      <c r="C353" t="s">
        <v>79</v>
      </c>
      <c r="D353" s="8">
        <v>200000</v>
      </c>
      <c r="E353">
        <v>9</v>
      </c>
      <c r="F353" s="7">
        <v>0.28000000000000003</v>
      </c>
      <c r="G353" s="9">
        <f t="shared" si="15"/>
        <v>24894.488710819271</v>
      </c>
      <c r="H353" s="8">
        <f t="shared" si="16"/>
        <v>24050.398397373443</v>
      </c>
      <c r="I353" s="8">
        <f t="shared" si="17"/>
        <v>224050.39839737344</v>
      </c>
    </row>
    <row r="354" spans="1:9" x14ac:dyDescent="0.25">
      <c r="A354" s="4" t="s">
        <v>172</v>
      </c>
      <c r="B354">
        <v>19</v>
      </c>
      <c r="C354" t="s">
        <v>33</v>
      </c>
      <c r="D354" s="8">
        <v>110000</v>
      </c>
      <c r="E354">
        <v>9</v>
      </c>
      <c r="F354" s="7">
        <v>0.26</v>
      </c>
      <c r="G354" s="9">
        <f t="shared" si="15"/>
        <v>13584.115086972699</v>
      </c>
      <c r="H354" s="8">
        <f t="shared" si="16"/>
        <v>12257.03578275429</v>
      </c>
      <c r="I354" s="8">
        <f t="shared" si="17"/>
        <v>122257.03578275429</v>
      </c>
    </row>
    <row r="355" spans="1:9" x14ac:dyDescent="0.25">
      <c r="A355" s="4" t="s">
        <v>260</v>
      </c>
      <c r="B355">
        <v>20</v>
      </c>
      <c r="C355" t="s">
        <v>50</v>
      </c>
      <c r="D355" s="8">
        <v>190000</v>
      </c>
      <c r="E355">
        <v>6</v>
      </c>
      <c r="F355" s="7">
        <v>0.21</v>
      </c>
      <c r="G355" s="9">
        <f t="shared" si="15"/>
        <v>33634.28573838</v>
      </c>
      <c r="H355" s="8">
        <f t="shared" si="16"/>
        <v>11805.714430280001</v>
      </c>
      <c r="I355" s="8">
        <f t="shared" si="17"/>
        <v>201805.71443028</v>
      </c>
    </row>
    <row r="356" spans="1:9" x14ac:dyDescent="0.25">
      <c r="A356" s="4" t="s">
        <v>87</v>
      </c>
      <c r="B356">
        <v>19</v>
      </c>
      <c r="C356" t="s">
        <v>33</v>
      </c>
      <c r="D356" s="8">
        <v>200000</v>
      </c>
      <c r="E356">
        <v>9</v>
      </c>
      <c r="F356" s="7">
        <v>0.25</v>
      </c>
      <c r="G356" s="9">
        <f t="shared" si="15"/>
        <v>24600.639865067802</v>
      </c>
      <c r="H356" s="8">
        <f t="shared" si="16"/>
        <v>21405.758785610204</v>
      </c>
      <c r="I356" s="8">
        <f t="shared" si="17"/>
        <v>221405.7587856102</v>
      </c>
    </row>
    <row r="357" spans="1:9" x14ac:dyDescent="0.25">
      <c r="A357" s="4" t="s">
        <v>261</v>
      </c>
      <c r="B357">
        <v>29</v>
      </c>
      <c r="C357" t="s">
        <v>36</v>
      </c>
      <c r="D357" s="8">
        <v>140000</v>
      </c>
      <c r="E357">
        <v>6</v>
      </c>
      <c r="F357" s="7">
        <v>0.21</v>
      </c>
      <c r="G357" s="9">
        <f t="shared" si="15"/>
        <v>24783.157912490526</v>
      </c>
      <c r="H357" s="8">
        <f t="shared" si="16"/>
        <v>8698.9474749431538</v>
      </c>
      <c r="I357" s="8">
        <f t="shared" si="17"/>
        <v>148698.94747494315</v>
      </c>
    </row>
    <row r="358" spans="1:9" x14ac:dyDescent="0.25">
      <c r="A358" s="4" t="s">
        <v>262</v>
      </c>
      <c r="B358">
        <v>26</v>
      </c>
      <c r="C358" t="s">
        <v>25</v>
      </c>
      <c r="D358" s="8">
        <v>180000</v>
      </c>
      <c r="E358">
        <v>6</v>
      </c>
      <c r="F358" s="7">
        <v>0.22</v>
      </c>
      <c r="G358" s="9">
        <f t="shared" si="15"/>
        <v>31954.137453513467</v>
      </c>
      <c r="H358" s="8">
        <f t="shared" si="16"/>
        <v>11724.824721080804</v>
      </c>
      <c r="I358" s="8">
        <f t="shared" si="17"/>
        <v>191724.8247210808</v>
      </c>
    </row>
    <row r="359" spans="1:9" x14ac:dyDescent="0.25">
      <c r="A359" s="4" t="s">
        <v>238</v>
      </c>
      <c r="B359">
        <v>18</v>
      </c>
      <c r="C359" t="s">
        <v>23</v>
      </c>
      <c r="D359" s="8">
        <v>100000</v>
      </c>
      <c r="E359">
        <v>6</v>
      </c>
      <c r="F359" s="7">
        <v>0.22</v>
      </c>
      <c r="G359" s="9">
        <f t="shared" si="15"/>
        <v>17752.298585285258</v>
      </c>
      <c r="H359" s="8">
        <f t="shared" si="16"/>
        <v>6513.7915117115481</v>
      </c>
      <c r="I359" s="8">
        <f t="shared" si="17"/>
        <v>106513.79151171155</v>
      </c>
    </row>
    <row r="360" spans="1:9" x14ac:dyDescent="0.25">
      <c r="A360" s="4" t="s">
        <v>263</v>
      </c>
      <c r="B360">
        <v>22</v>
      </c>
      <c r="C360" t="s">
        <v>15</v>
      </c>
      <c r="D360" s="8">
        <v>140000</v>
      </c>
      <c r="E360">
        <v>8</v>
      </c>
      <c r="F360" s="7">
        <v>0.25</v>
      </c>
      <c r="G360" s="9">
        <f t="shared" si="15"/>
        <v>19180.073438473082</v>
      </c>
      <c r="H360" s="8">
        <f t="shared" si="16"/>
        <v>13440.587507784658</v>
      </c>
      <c r="I360" s="8">
        <f t="shared" si="17"/>
        <v>153440.58750778466</v>
      </c>
    </row>
    <row r="361" spans="1:9" x14ac:dyDescent="0.25">
      <c r="A361" s="4" t="s">
        <v>84</v>
      </c>
      <c r="B361">
        <v>26</v>
      </c>
      <c r="C361" t="s">
        <v>17</v>
      </c>
      <c r="D361" s="8">
        <v>190000</v>
      </c>
      <c r="E361">
        <v>8</v>
      </c>
      <c r="F361" s="7">
        <v>0.25</v>
      </c>
      <c r="G361" s="9">
        <f t="shared" si="15"/>
        <v>26030.099666499184</v>
      </c>
      <c r="H361" s="8">
        <f t="shared" si="16"/>
        <v>18240.797331993468</v>
      </c>
      <c r="I361" s="8">
        <f t="shared" si="17"/>
        <v>208240.79733199347</v>
      </c>
    </row>
    <row r="362" spans="1:9" x14ac:dyDescent="0.25">
      <c r="A362" s="4" t="s">
        <v>219</v>
      </c>
      <c r="B362">
        <v>19</v>
      </c>
      <c r="C362" t="s">
        <v>23</v>
      </c>
      <c r="D362" s="8">
        <v>200000</v>
      </c>
      <c r="E362">
        <v>6</v>
      </c>
      <c r="F362" s="7">
        <v>0.21</v>
      </c>
      <c r="G362" s="9">
        <f t="shared" si="15"/>
        <v>35404.511303557891</v>
      </c>
      <c r="H362" s="8">
        <f t="shared" si="16"/>
        <v>12427.067821347329</v>
      </c>
      <c r="I362" s="8">
        <f t="shared" si="17"/>
        <v>212427.06782134733</v>
      </c>
    </row>
    <row r="363" spans="1:9" x14ac:dyDescent="0.25">
      <c r="A363" s="4" t="s">
        <v>264</v>
      </c>
      <c r="B363">
        <v>19</v>
      </c>
      <c r="C363" t="s">
        <v>79</v>
      </c>
      <c r="D363" s="8">
        <v>170000</v>
      </c>
      <c r="E363">
        <v>5</v>
      </c>
      <c r="F363" s="7">
        <v>0.21</v>
      </c>
      <c r="G363" s="9">
        <f t="shared" si="15"/>
        <v>35805.642187542151</v>
      </c>
      <c r="H363" s="8">
        <f t="shared" si="16"/>
        <v>9028.2109377107699</v>
      </c>
      <c r="I363" s="8">
        <f t="shared" si="17"/>
        <v>179028.21093771077</v>
      </c>
    </row>
    <row r="364" spans="1:9" x14ac:dyDescent="0.25">
      <c r="A364" s="4" t="s">
        <v>265</v>
      </c>
      <c r="B364">
        <v>30</v>
      </c>
      <c r="C364" t="s">
        <v>33</v>
      </c>
      <c r="D364" s="8">
        <v>170000</v>
      </c>
      <c r="E364">
        <v>6</v>
      </c>
      <c r="F364" s="7">
        <v>0.21</v>
      </c>
      <c r="G364" s="9">
        <f t="shared" si="15"/>
        <v>30093.834608024212</v>
      </c>
      <c r="H364" s="8">
        <f t="shared" si="16"/>
        <v>10563.007648145256</v>
      </c>
      <c r="I364" s="8">
        <f t="shared" si="17"/>
        <v>180563.00764814526</v>
      </c>
    </row>
    <row r="365" spans="1:9" x14ac:dyDescent="0.25">
      <c r="A365" s="4" t="s">
        <v>111</v>
      </c>
      <c r="B365">
        <v>23</v>
      </c>
      <c r="C365" t="s">
        <v>33</v>
      </c>
      <c r="D365" s="8">
        <v>180000</v>
      </c>
      <c r="E365">
        <v>6</v>
      </c>
      <c r="F365" s="7">
        <v>0.23</v>
      </c>
      <c r="G365" s="9">
        <f t="shared" si="15"/>
        <v>32044.332855111246</v>
      </c>
      <c r="H365" s="8">
        <f t="shared" si="16"/>
        <v>12265.997130667471</v>
      </c>
      <c r="I365" s="8">
        <f t="shared" si="17"/>
        <v>192265.99713066747</v>
      </c>
    </row>
    <row r="366" spans="1:9" x14ac:dyDescent="0.25">
      <c r="A366" s="4" t="s">
        <v>176</v>
      </c>
      <c r="B366">
        <v>19</v>
      </c>
      <c r="C366" t="s">
        <v>45</v>
      </c>
      <c r="D366" s="8">
        <v>100000</v>
      </c>
      <c r="E366">
        <v>6</v>
      </c>
      <c r="F366" s="7">
        <v>0.21</v>
      </c>
      <c r="G366" s="9">
        <f t="shared" si="15"/>
        <v>17702.255651778945</v>
      </c>
      <c r="H366" s="8">
        <f t="shared" si="16"/>
        <v>6213.5339106736646</v>
      </c>
      <c r="I366" s="8">
        <f t="shared" si="17"/>
        <v>106213.53391067366</v>
      </c>
    </row>
    <row r="367" spans="1:9" x14ac:dyDescent="0.25">
      <c r="A367" s="4" t="s">
        <v>266</v>
      </c>
      <c r="B367">
        <v>30</v>
      </c>
      <c r="C367" t="s">
        <v>19</v>
      </c>
      <c r="D367" s="8">
        <v>100000</v>
      </c>
      <c r="E367">
        <v>9</v>
      </c>
      <c r="F367" s="7">
        <v>0.27</v>
      </c>
      <c r="G367" s="9">
        <f t="shared" si="15"/>
        <v>12398.170391171179</v>
      </c>
      <c r="H367" s="8">
        <f t="shared" si="16"/>
        <v>11583.533520540615</v>
      </c>
      <c r="I367" s="8">
        <f t="shared" si="17"/>
        <v>111583.53352054062</v>
      </c>
    </row>
    <row r="368" spans="1:9" x14ac:dyDescent="0.25">
      <c r="A368" s="4" t="s">
        <v>267</v>
      </c>
      <c r="B368">
        <v>19</v>
      </c>
      <c r="C368" t="s">
        <v>45</v>
      </c>
      <c r="D368" s="8">
        <v>100000</v>
      </c>
      <c r="E368">
        <v>9</v>
      </c>
      <c r="F368" s="7">
        <v>0.25</v>
      </c>
      <c r="G368" s="9">
        <f t="shared" si="15"/>
        <v>12300.319932533901</v>
      </c>
      <c r="H368" s="8">
        <f t="shared" si="16"/>
        <v>10702.879392805102</v>
      </c>
      <c r="I368" s="8">
        <f t="shared" si="17"/>
        <v>110702.8793928051</v>
      </c>
    </row>
    <row r="369" spans="1:9" x14ac:dyDescent="0.25">
      <c r="A369" s="4" t="s">
        <v>268</v>
      </c>
      <c r="B369">
        <v>22</v>
      </c>
      <c r="C369" t="s">
        <v>79</v>
      </c>
      <c r="D369" s="8">
        <v>100000</v>
      </c>
      <c r="E369">
        <v>7</v>
      </c>
      <c r="F369" s="7">
        <v>0.24</v>
      </c>
      <c r="G369" s="9">
        <f t="shared" si="15"/>
        <v>15451.195610309953</v>
      </c>
      <c r="H369" s="8">
        <f t="shared" si="16"/>
        <v>8158.3692721696716</v>
      </c>
      <c r="I369" s="8">
        <f t="shared" si="17"/>
        <v>108158.36927216967</v>
      </c>
    </row>
    <row r="370" spans="1:9" x14ac:dyDescent="0.25">
      <c r="A370" s="4" t="s">
        <v>146</v>
      </c>
      <c r="B370">
        <v>27</v>
      </c>
      <c r="C370" t="s">
        <v>21</v>
      </c>
      <c r="D370" s="8">
        <v>100000</v>
      </c>
      <c r="E370">
        <v>9</v>
      </c>
      <c r="F370" s="7">
        <v>0.28000000000000003</v>
      </c>
      <c r="G370" s="9">
        <f t="shared" si="15"/>
        <v>12447.244355409635</v>
      </c>
      <c r="H370" s="8">
        <f t="shared" si="16"/>
        <v>12025.199198686722</v>
      </c>
      <c r="I370" s="8">
        <f t="shared" si="17"/>
        <v>112025.19919868672</v>
      </c>
    </row>
    <row r="371" spans="1:9" x14ac:dyDescent="0.25">
      <c r="A371" s="4" t="s">
        <v>269</v>
      </c>
      <c r="B371">
        <v>23</v>
      </c>
      <c r="C371" t="s">
        <v>23</v>
      </c>
      <c r="D371" s="8">
        <v>170000</v>
      </c>
      <c r="E371">
        <v>5</v>
      </c>
      <c r="F371" s="7">
        <v>0.21</v>
      </c>
      <c r="G371" s="9">
        <f t="shared" si="15"/>
        <v>35805.642187542151</v>
      </c>
      <c r="H371" s="8">
        <f t="shared" si="16"/>
        <v>9028.2109377107699</v>
      </c>
      <c r="I371" s="8">
        <f t="shared" si="17"/>
        <v>179028.21093771077</v>
      </c>
    </row>
    <row r="372" spans="1:9" x14ac:dyDescent="0.25">
      <c r="A372" s="4" t="s">
        <v>141</v>
      </c>
      <c r="B372">
        <v>21</v>
      </c>
      <c r="C372" t="s">
        <v>27</v>
      </c>
      <c r="D372" s="8">
        <v>120000</v>
      </c>
      <c r="E372">
        <v>7</v>
      </c>
      <c r="F372" s="7">
        <v>0.24</v>
      </c>
      <c r="G372" s="9">
        <f t="shared" si="15"/>
        <v>18541.434732371945</v>
      </c>
      <c r="H372" s="8">
        <f t="shared" si="16"/>
        <v>9790.0431266036176</v>
      </c>
      <c r="I372" s="8">
        <f t="shared" si="17"/>
        <v>129790.04312660362</v>
      </c>
    </row>
    <row r="373" spans="1:9" x14ac:dyDescent="0.25">
      <c r="A373" s="4" t="s">
        <v>124</v>
      </c>
      <c r="B373">
        <v>28</v>
      </c>
      <c r="C373" t="s">
        <v>62</v>
      </c>
      <c r="D373" s="8">
        <v>150000</v>
      </c>
      <c r="E373">
        <v>6</v>
      </c>
      <c r="F373" s="7">
        <v>0.23</v>
      </c>
      <c r="G373" s="9">
        <f t="shared" si="15"/>
        <v>26703.610712592705</v>
      </c>
      <c r="H373" s="8">
        <f t="shared" si="16"/>
        <v>10221.664275556221</v>
      </c>
      <c r="I373" s="8">
        <f t="shared" si="17"/>
        <v>160221.66427555622</v>
      </c>
    </row>
    <row r="374" spans="1:9" x14ac:dyDescent="0.25">
      <c r="A374" s="4" t="s">
        <v>270</v>
      </c>
      <c r="B374">
        <v>24</v>
      </c>
      <c r="C374" t="s">
        <v>62</v>
      </c>
      <c r="D374" s="8">
        <v>150000</v>
      </c>
      <c r="E374">
        <v>9</v>
      </c>
      <c r="F374" s="7">
        <v>0.28000000000000003</v>
      </c>
      <c r="G374" s="9">
        <f t="shared" si="15"/>
        <v>18670.866533114455</v>
      </c>
      <c r="H374" s="8">
        <f t="shared" si="16"/>
        <v>18037.798798030097</v>
      </c>
      <c r="I374" s="8">
        <f t="shared" si="17"/>
        <v>168037.7987980301</v>
      </c>
    </row>
    <row r="375" spans="1:9" x14ac:dyDescent="0.25">
      <c r="A375" s="4" t="s">
        <v>102</v>
      </c>
      <c r="B375">
        <v>24</v>
      </c>
      <c r="C375" t="s">
        <v>72</v>
      </c>
      <c r="D375" s="8">
        <v>120000</v>
      </c>
      <c r="E375">
        <v>5</v>
      </c>
      <c r="F375" s="7">
        <v>0.21</v>
      </c>
      <c r="G375" s="9">
        <f t="shared" si="15"/>
        <v>25274.570955912106</v>
      </c>
      <c r="H375" s="8">
        <f t="shared" si="16"/>
        <v>6372.8547795605264</v>
      </c>
      <c r="I375" s="8">
        <f t="shared" si="17"/>
        <v>126372.85477956053</v>
      </c>
    </row>
    <row r="376" spans="1:9" x14ac:dyDescent="0.25">
      <c r="A376" s="4" t="s">
        <v>271</v>
      </c>
      <c r="B376">
        <v>24</v>
      </c>
      <c r="C376" t="s">
        <v>50</v>
      </c>
      <c r="D376" s="8">
        <v>110000</v>
      </c>
      <c r="E376">
        <v>9</v>
      </c>
      <c r="F376" s="7">
        <v>0.27</v>
      </c>
      <c r="G376" s="9">
        <f t="shared" si="15"/>
        <v>13637.987430288296</v>
      </c>
      <c r="H376" s="8">
        <f t="shared" si="16"/>
        <v>12741.886872594667</v>
      </c>
      <c r="I376" s="8">
        <f t="shared" si="17"/>
        <v>122741.88687259467</v>
      </c>
    </row>
    <row r="377" spans="1:9" x14ac:dyDescent="0.25">
      <c r="A377" s="4" t="s">
        <v>245</v>
      </c>
      <c r="B377">
        <v>28</v>
      </c>
      <c r="C377" t="s">
        <v>33</v>
      </c>
      <c r="D377" s="8">
        <v>140000</v>
      </c>
      <c r="E377">
        <v>8</v>
      </c>
      <c r="F377" s="7">
        <v>0.27</v>
      </c>
      <c r="G377" s="9">
        <f t="shared" si="15"/>
        <v>19317.846529342249</v>
      </c>
      <c r="H377" s="8">
        <f t="shared" si="16"/>
        <v>14542.772234737989</v>
      </c>
      <c r="I377" s="8">
        <f t="shared" si="17"/>
        <v>154542.77223473799</v>
      </c>
    </row>
    <row r="378" spans="1:9" x14ac:dyDescent="0.25">
      <c r="A378" s="4" t="s">
        <v>94</v>
      </c>
      <c r="B378">
        <v>28</v>
      </c>
      <c r="C378" t="s">
        <v>36</v>
      </c>
      <c r="D378" s="8">
        <v>200000</v>
      </c>
      <c r="E378">
        <v>8</v>
      </c>
      <c r="F378" s="7">
        <v>0.26</v>
      </c>
      <c r="G378" s="9">
        <f t="shared" si="15"/>
        <v>27498.426259001459</v>
      </c>
      <c r="H378" s="8">
        <f t="shared" si="16"/>
        <v>19987.410072011669</v>
      </c>
      <c r="I378" s="8">
        <f t="shared" si="17"/>
        <v>219987.41007201167</v>
      </c>
    </row>
    <row r="379" spans="1:9" x14ac:dyDescent="0.25">
      <c r="A379" s="4" t="s">
        <v>272</v>
      </c>
      <c r="B379">
        <v>18</v>
      </c>
      <c r="C379" t="s">
        <v>79</v>
      </c>
      <c r="D379" s="8">
        <v>180000</v>
      </c>
      <c r="E379">
        <v>6</v>
      </c>
      <c r="F379" s="7">
        <v>0.23</v>
      </c>
      <c r="G379" s="9">
        <f t="shared" si="15"/>
        <v>32044.332855111246</v>
      </c>
      <c r="H379" s="8">
        <f t="shared" si="16"/>
        <v>12265.997130667471</v>
      </c>
      <c r="I379" s="8">
        <f t="shared" si="17"/>
        <v>192265.99713066747</v>
      </c>
    </row>
    <row r="380" spans="1:9" x14ac:dyDescent="0.25">
      <c r="A380" s="4" t="s">
        <v>273</v>
      </c>
      <c r="B380">
        <v>21</v>
      </c>
      <c r="C380" t="s">
        <v>62</v>
      </c>
      <c r="D380" s="8">
        <v>200000</v>
      </c>
      <c r="E380">
        <v>9</v>
      </c>
      <c r="F380" s="7">
        <v>0.27</v>
      </c>
      <c r="G380" s="9">
        <f t="shared" si="15"/>
        <v>24796.340782342359</v>
      </c>
      <c r="H380" s="8">
        <f t="shared" si="16"/>
        <v>23167.067041081231</v>
      </c>
      <c r="I380" s="8">
        <f t="shared" si="17"/>
        <v>223167.06704108123</v>
      </c>
    </row>
    <row r="381" spans="1:9" x14ac:dyDescent="0.25">
      <c r="A381" s="4" t="s">
        <v>274</v>
      </c>
      <c r="B381">
        <v>26</v>
      </c>
      <c r="C381" t="s">
        <v>36</v>
      </c>
      <c r="D381" s="8">
        <v>120000</v>
      </c>
      <c r="E381">
        <v>7</v>
      </c>
      <c r="F381" s="7">
        <v>0.25</v>
      </c>
      <c r="G381" s="9">
        <f t="shared" si="15"/>
        <v>18600.874264997503</v>
      </c>
      <c r="H381" s="8">
        <f t="shared" si="16"/>
        <v>10206.11985498252</v>
      </c>
      <c r="I381" s="8">
        <f t="shared" si="17"/>
        <v>130206.11985498252</v>
      </c>
    </row>
    <row r="382" spans="1:9" x14ac:dyDescent="0.25">
      <c r="A382" s="4" t="s">
        <v>151</v>
      </c>
      <c r="B382">
        <v>30</v>
      </c>
      <c r="C382" t="s">
        <v>33</v>
      </c>
      <c r="D382" s="8">
        <v>130000</v>
      </c>
      <c r="E382">
        <v>6</v>
      </c>
      <c r="F382" s="7">
        <v>0.23</v>
      </c>
      <c r="G382" s="9">
        <f t="shared" si="15"/>
        <v>23143.129284247014</v>
      </c>
      <c r="H382" s="8">
        <f t="shared" si="16"/>
        <v>8858.7757054820831</v>
      </c>
      <c r="I382" s="8">
        <f t="shared" si="17"/>
        <v>138858.77570548208</v>
      </c>
    </row>
    <row r="383" spans="1:9" x14ac:dyDescent="0.25">
      <c r="A383" s="4" t="s">
        <v>140</v>
      </c>
      <c r="B383">
        <v>25</v>
      </c>
      <c r="C383" t="s">
        <v>23</v>
      </c>
      <c r="D383" s="8">
        <v>190000</v>
      </c>
      <c r="E383">
        <v>5</v>
      </c>
      <c r="F383" s="7">
        <v>0.23</v>
      </c>
      <c r="G383" s="9">
        <f t="shared" si="15"/>
        <v>40212.650934953286</v>
      </c>
      <c r="H383" s="8">
        <f t="shared" si="16"/>
        <v>11063.254674766446</v>
      </c>
      <c r="I383" s="8">
        <f t="shared" si="17"/>
        <v>201063.25467476645</v>
      </c>
    </row>
    <row r="384" spans="1:9" x14ac:dyDescent="0.25">
      <c r="A384" s="4" t="s">
        <v>182</v>
      </c>
      <c r="B384">
        <v>19</v>
      </c>
      <c r="C384" t="s">
        <v>62</v>
      </c>
      <c r="D384" s="8">
        <v>160000</v>
      </c>
      <c r="E384">
        <v>8</v>
      </c>
      <c r="F384" s="7">
        <v>0.28000000000000003</v>
      </c>
      <c r="G384" s="9">
        <f t="shared" si="15"/>
        <v>22156.477376100709</v>
      </c>
      <c r="H384" s="8">
        <f t="shared" si="16"/>
        <v>17251.819008805673</v>
      </c>
      <c r="I384" s="8">
        <f t="shared" si="17"/>
        <v>177251.81900880567</v>
      </c>
    </row>
    <row r="385" spans="1:9" x14ac:dyDescent="0.25">
      <c r="A385" s="4" t="s">
        <v>218</v>
      </c>
      <c r="B385">
        <v>29</v>
      </c>
      <c r="C385" t="s">
        <v>36</v>
      </c>
      <c r="D385" s="8">
        <v>200000</v>
      </c>
      <c r="E385">
        <v>9</v>
      </c>
      <c r="F385" s="7">
        <v>0.26</v>
      </c>
      <c r="G385" s="9">
        <f t="shared" si="15"/>
        <v>24698.391067223089</v>
      </c>
      <c r="H385" s="8">
        <f t="shared" si="16"/>
        <v>22285.519605007808</v>
      </c>
      <c r="I385" s="8">
        <f t="shared" si="17"/>
        <v>222285.51960500781</v>
      </c>
    </row>
    <row r="386" spans="1:9" x14ac:dyDescent="0.25">
      <c r="A386" s="4" t="s">
        <v>61</v>
      </c>
      <c r="B386">
        <v>21</v>
      </c>
      <c r="C386" t="s">
        <v>17</v>
      </c>
      <c r="D386" s="8">
        <v>130000</v>
      </c>
      <c r="E386">
        <v>7</v>
      </c>
      <c r="F386" s="7">
        <v>0.24</v>
      </c>
      <c r="G386" s="9">
        <f t="shared" si="15"/>
        <v>20086.55429340294</v>
      </c>
      <c r="H386" s="8">
        <f t="shared" si="16"/>
        <v>10605.880053820583</v>
      </c>
      <c r="I386" s="8">
        <f t="shared" si="17"/>
        <v>140605.88005382058</v>
      </c>
    </row>
    <row r="387" spans="1:9" x14ac:dyDescent="0.25">
      <c r="A387" s="4" t="s">
        <v>275</v>
      </c>
      <c r="B387">
        <v>27</v>
      </c>
      <c r="C387" t="s">
        <v>33</v>
      </c>
      <c r="D387" s="8">
        <v>140000</v>
      </c>
      <c r="E387">
        <v>6</v>
      </c>
      <c r="F387" s="7">
        <v>0.23</v>
      </c>
      <c r="G387" s="9">
        <f t="shared" si="15"/>
        <v>24923.369998419857</v>
      </c>
      <c r="H387" s="8">
        <f t="shared" si="16"/>
        <v>9540.2199905191374</v>
      </c>
      <c r="I387" s="8">
        <f t="shared" si="17"/>
        <v>149540.21999051914</v>
      </c>
    </row>
    <row r="388" spans="1:9" x14ac:dyDescent="0.25">
      <c r="A388" s="4" t="s">
        <v>204</v>
      </c>
      <c r="B388">
        <v>30</v>
      </c>
      <c r="C388" t="s">
        <v>33</v>
      </c>
      <c r="D388" s="8">
        <v>180000</v>
      </c>
      <c r="E388">
        <v>9</v>
      </c>
      <c r="F388" s="7">
        <v>0.28000000000000003</v>
      </c>
      <c r="G388" s="9">
        <f t="shared" si="15"/>
        <v>22405.039839737343</v>
      </c>
      <c r="H388" s="8">
        <f t="shared" si="16"/>
        <v>21645.358557636093</v>
      </c>
      <c r="I388" s="8">
        <f t="shared" si="17"/>
        <v>201645.35855763609</v>
      </c>
    </row>
    <row r="389" spans="1:9" x14ac:dyDescent="0.25">
      <c r="A389" s="4" t="s">
        <v>37</v>
      </c>
      <c r="B389">
        <v>30</v>
      </c>
      <c r="C389" t="s">
        <v>15</v>
      </c>
      <c r="D389" s="8">
        <v>150000</v>
      </c>
      <c r="E389">
        <v>5</v>
      </c>
      <c r="F389" s="7">
        <v>0.22</v>
      </c>
      <c r="G389" s="9">
        <f t="shared" si="15"/>
        <v>31669.981176755275</v>
      </c>
      <c r="H389" s="8">
        <f t="shared" si="16"/>
        <v>8349.9058837763732</v>
      </c>
      <c r="I389" s="8">
        <f t="shared" si="17"/>
        <v>158349.90588377637</v>
      </c>
    </row>
    <row r="390" spans="1:9" x14ac:dyDescent="0.25">
      <c r="A390" s="4" t="s">
        <v>160</v>
      </c>
      <c r="B390">
        <v>23</v>
      </c>
      <c r="C390" t="s">
        <v>50</v>
      </c>
      <c r="D390" s="8">
        <v>150000</v>
      </c>
      <c r="E390">
        <v>8</v>
      </c>
      <c r="F390" s="7">
        <v>0.28000000000000003</v>
      </c>
      <c r="G390" s="9">
        <f t="shared" ref="G390:G453" si="18">PMT(F390/12,E390,-D390)</f>
        <v>20771.697540094417</v>
      </c>
      <c r="H390" s="8">
        <f t="shared" ref="H390:H453" si="19">I390-D390</f>
        <v>16173.58032075534</v>
      </c>
      <c r="I390" s="8">
        <f t="shared" ref="I390:I453" si="20">PRODUCT(G390,E390)</f>
        <v>166173.58032075534</v>
      </c>
    </row>
    <row r="391" spans="1:9" x14ac:dyDescent="0.25">
      <c r="A391" s="4" t="s">
        <v>178</v>
      </c>
      <c r="B391">
        <v>30</v>
      </c>
      <c r="C391" t="s">
        <v>50</v>
      </c>
      <c r="D391" s="8">
        <v>150000</v>
      </c>
      <c r="E391">
        <v>9</v>
      </c>
      <c r="F391" s="7">
        <v>0.25</v>
      </c>
      <c r="G391" s="9">
        <f t="shared" si="18"/>
        <v>18450.479898800852</v>
      </c>
      <c r="H391" s="8">
        <f t="shared" si="19"/>
        <v>16054.319089207653</v>
      </c>
      <c r="I391" s="8">
        <f t="shared" si="20"/>
        <v>166054.31908920765</v>
      </c>
    </row>
    <row r="392" spans="1:9" x14ac:dyDescent="0.25">
      <c r="A392" s="4" t="s">
        <v>125</v>
      </c>
      <c r="B392">
        <v>30</v>
      </c>
      <c r="C392" t="s">
        <v>21</v>
      </c>
      <c r="D392" s="8">
        <v>200000</v>
      </c>
      <c r="E392">
        <v>6</v>
      </c>
      <c r="F392" s="7">
        <v>0.22</v>
      </c>
      <c r="G392" s="9">
        <f t="shared" si="18"/>
        <v>35504.597170570516</v>
      </c>
      <c r="H392" s="8">
        <f t="shared" si="19"/>
        <v>13027.583023423096</v>
      </c>
      <c r="I392" s="8">
        <f t="shared" si="20"/>
        <v>213027.5830234231</v>
      </c>
    </row>
    <row r="393" spans="1:9" x14ac:dyDescent="0.25">
      <c r="A393" s="4" t="s">
        <v>185</v>
      </c>
      <c r="B393">
        <v>30</v>
      </c>
      <c r="C393" t="s">
        <v>50</v>
      </c>
      <c r="D393" s="8">
        <v>160000</v>
      </c>
      <c r="E393">
        <v>9</v>
      </c>
      <c r="F393" s="7">
        <v>0.26</v>
      </c>
      <c r="G393" s="9">
        <f t="shared" si="18"/>
        <v>19758.71285377847</v>
      </c>
      <c r="H393" s="8">
        <f t="shared" si="19"/>
        <v>17828.415684006235</v>
      </c>
      <c r="I393" s="8">
        <f t="shared" si="20"/>
        <v>177828.41568400624</v>
      </c>
    </row>
    <row r="394" spans="1:9" x14ac:dyDescent="0.25">
      <c r="A394" s="4" t="s">
        <v>276</v>
      </c>
      <c r="B394">
        <v>18</v>
      </c>
      <c r="C394" t="s">
        <v>45</v>
      </c>
      <c r="D394" s="8">
        <v>200000</v>
      </c>
      <c r="E394">
        <v>8</v>
      </c>
      <c r="F394" s="7">
        <v>0.26</v>
      </c>
      <c r="G394" s="9">
        <f t="shared" si="18"/>
        <v>27498.426259001459</v>
      </c>
      <c r="H394" s="8">
        <f t="shared" si="19"/>
        <v>19987.410072011669</v>
      </c>
      <c r="I394" s="8">
        <f t="shared" si="20"/>
        <v>219987.41007201167</v>
      </c>
    </row>
    <row r="395" spans="1:9" x14ac:dyDescent="0.25">
      <c r="A395" s="4" t="s">
        <v>252</v>
      </c>
      <c r="B395">
        <v>29</v>
      </c>
      <c r="C395" t="s">
        <v>27</v>
      </c>
      <c r="D395" s="8">
        <v>200000</v>
      </c>
      <c r="E395">
        <v>8</v>
      </c>
      <c r="F395" s="7">
        <v>0.26</v>
      </c>
      <c r="G395" s="9">
        <f t="shared" si="18"/>
        <v>27498.426259001459</v>
      </c>
      <c r="H395" s="8">
        <f t="shared" si="19"/>
        <v>19987.410072011669</v>
      </c>
      <c r="I395" s="8">
        <f t="shared" si="20"/>
        <v>219987.41007201167</v>
      </c>
    </row>
    <row r="396" spans="1:9" x14ac:dyDescent="0.25">
      <c r="A396" s="4" t="s">
        <v>22</v>
      </c>
      <c r="B396">
        <v>21</v>
      </c>
      <c r="C396" t="s">
        <v>23</v>
      </c>
      <c r="D396" s="8">
        <v>160000</v>
      </c>
      <c r="E396">
        <v>8</v>
      </c>
      <c r="F396" s="7">
        <v>0.28000000000000003</v>
      </c>
      <c r="G396" s="9">
        <f t="shared" si="18"/>
        <v>22156.477376100709</v>
      </c>
      <c r="H396" s="8">
        <f t="shared" si="19"/>
        <v>17251.819008805673</v>
      </c>
      <c r="I396" s="8">
        <f t="shared" si="20"/>
        <v>177251.81900880567</v>
      </c>
    </row>
    <row r="397" spans="1:9" x14ac:dyDescent="0.25">
      <c r="A397" s="4" t="s">
        <v>226</v>
      </c>
      <c r="B397">
        <v>26</v>
      </c>
      <c r="C397" t="s">
        <v>23</v>
      </c>
      <c r="D397" s="8">
        <v>190000</v>
      </c>
      <c r="E397">
        <v>7</v>
      </c>
      <c r="F397" s="7">
        <v>0.24</v>
      </c>
      <c r="G397" s="9">
        <f t="shared" si="18"/>
        <v>29357.271659588911</v>
      </c>
      <c r="H397" s="8">
        <f t="shared" si="19"/>
        <v>15500.901617122378</v>
      </c>
      <c r="I397" s="8">
        <f t="shared" si="20"/>
        <v>205500.90161712238</v>
      </c>
    </row>
    <row r="398" spans="1:9" x14ac:dyDescent="0.25">
      <c r="A398" s="4" t="s">
        <v>277</v>
      </c>
      <c r="B398">
        <v>26</v>
      </c>
      <c r="C398" t="s">
        <v>27</v>
      </c>
      <c r="D398" s="8">
        <v>100000</v>
      </c>
      <c r="E398">
        <v>6</v>
      </c>
      <c r="F398" s="7">
        <v>0.21</v>
      </c>
      <c r="G398" s="9">
        <f t="shared" si="18"/>
        <v>17702.255651778945</v>
      </c>
      <c r="H398" s="8">
        <f t="shared" si="19"/>
        <v>6213.5339106736646</v>
      </c>
      <c r="I398" s="8">
        <f t="shared" si="20"/>
        <v>106213.53391067366</v>
      </c>
    </row>
    <row r="399" spans="1:9" x14ac:dyDescent="0.25">
      <c r="A399" s="4" t="s">
        <v>236</v>
      </c>
      <c r="B399">
        <v>18</v>
      </c>
      <c r="C399" t="s">
        <v>45</v>
      </c>
      <c r="D399" s="8">
        <v>170000</v>
      </c>
      <c r="E399">
        <v>5</v>
      </c>
      <c r="F399" s="7">
        <v>0.23</v>
      </c>
      <c r="G399" s="9">
        <f t="shared" si="18"/>
        <v>35979.740310221358</v>
      </c>
      <c r="H399" s="8">
        <f t="shared" si="19"/>
        <v>9898.7015511067875</v>
      </c>
      <c r="I399" s="8">
        <f t="shared" si="20"/>
        <v>179898.70155110679</v>
      </c>
    </row>
    <row r="400" spans="1:9" x14ac:dyDescent="0.25">
      <c r="A400" s="4" t="s">
        <v>52</v>
      </c>
      <c r="B400">
        <v>25</v>
      </c>
      <c r="C400" t="s">
        <v>31</v>
      </c>
      <c r="D400" s="8">
        <v>130000</v>
      </c>
      <c r="E400">
        <v>9</v>
      </c>
      <c r="F400" s="7">
        <v>0.25</v>
      </c>
      <c r="G400" s="9">
        <f t="shared" si="18"/>
        <v>15990.415912294071</v>
      </c>
      <c r="H400" s="8">
        <f t="shared" si="19"/>
        <v>13913.743210646644</v>
      </c>
      <c r="I400" s="8">
        <f t="shared" si="20"/>
        <v>143913.74321064664</v>
      </c>
    </row>
    <row r="401" spans="1:9" x14ac:dyDescent="0.25">
      <c r="A401" s="4" t="s">
        <v>278</v>
      </c>
      <c r="B401">
        <v>19</v>
      </c>
      <c r="C401" t="s">
        <v>79</v>
      </c>
      <c r="D401" s="8">
        <v>160000</v>
      </c>
      <c r="E401">
        <v>6</v>
      </c>
      <c r="F401" s="7">
        <v>0.22</v>
      </c>
      <c r="G401" s="9">
        <f t="shared" si="18"/>
        <v>28403.677736456419</v>
      </c>
      <c r="H401" s="8">
        <f t="shared" si="19"/>
        <v>10422.066418738512</v>
      </c>
      <c r="I401" s="8">
        <f t="shared" si="20"/>
        <v>170422.06641873851</v>
      </c>
    </row>
    <row r="402" spans="1:9" x14ac:dyDescent="0.25">
      <c r="A402" s="4" t="s">
        <v>105</v>
      </c>
      <c r="B402">
        <v>23</v>
      </c>
      <c r="C402" t="s">
        <v>62</v>
      </c>
      <c r="D402" s="8">
        <v>200000</v>
      </c>
      <c r="E402">
        <v>7</v>
      </c>
      <c r="F402" s="7">
        <v>0.25</v>
      </c>
      <c r="G402" s="9">
        <f t="shared" si="18"/>
        <v>31001.45710832917</v>
      </c>
      <c r="H402" s="8">
        <f t="shared" si="19"/>
        <v>17010.199758304196</v>
      </c>
      <c r="I402" s="8">
        <f t="shared" si="20"/>
        <v>217010.1997583042</v>
      </c>
    </row>
    <row r="403" spans="1:9" x14ac:dyDescent="0.25">
      <c r="A403" s="4" t="s">
        <v>245</v>
      </c>
      <c r="B403">
        <v>21</v>
      </c>
      <c r="C403" t="s">
        <v>45</v>
      </c>
      <c r="D403" s="8">
        <v>180000</v>
      </c>
      <c r="E403">
        <v>6</v>
      </c>
      <c r="F403" s="7">
        <v>0.23</v>
      </c>
      <c r="G403" s="9">
        <f t="shared" si="18"/>
        <v>32044.332855111246</v>
      </c>
      <c r="H403" s="8">
        <f t="shared" si="19"/>
        <v>12265.997130667471</v>
      </c>
      <c r="I403" s="8">
        <f t="shared" si="20"/>
        <v>192265.99713066747</v>
      </c>
    </row>
    <row r="404" spans="1:9" x14ac:dyDescent="0.25">
      <c r="A404" s="4" t="s">
        <v>274</v>
      </c>
      <c r="B404">
        <v>22</v>
      </c>
      <c r="C404" t="s">
        <v>19</v>
      </c>
      <c r="D404" s="8">
        <v>180000</v>
      </c>
      <c r="E404">
        <v>8</v>
      </c>
      <c r="F404" s="7">
        <v>0.27</v>
      </c>
      <c r="G404" s="9">
        <f t="shared" si="18"/>
        <v>24837.231252011461</v>
      </c>
      <c r="H404" s="8">
        <f t="shared" si="19"/>
        <v>18697.850016091688</v>
      </c>
      <c r="I404" s="8">
        <f t="shared" si="20"/>
        <v>198697.85001609169</v>
      </c>
    </row>
    <row r="405" spans="1:9" x14ac:dyDescent="0.25">
      <c r="A405" s="4" t="s">
        <v>178</v>
      </c>
      <c r="B405">
        <v>18</v>
      </c>
      <c r="C405" t="s">
        <v>17</v>
      </c>
      <c r="D405" s="8">
        <v>130000</v>
      </c>
      <c r="E405">
        <v>6</v>
      </c>
      <c r="F405" s="7">
        <v>0.21</v>
      </c>
      <c r="G405" s="9">
        <f t="shared" si="18"/>
        <v>23012.932347312631</v>
      </c>
      <c r="H405" s="8">
        <f t="shared" si="19"/>
        <v>8077.5940838757961</v>
      </c>
      <c r="I405" s="8">
        <f t="shared" si="20"/>
        <v>138077.5940838758</v>
      </c>
    </row>
    <row r="406" spans="1:9" x14ac:dyDescent="0.25">
      <c r="A406" s="4" t="s">
        <v>160</v>
      </c>
      <c r="B406">
        <v>23</v>
      </c>
      <c r="C406" t="s">
        <v>21</v>
      </c>
      <c r="D406" s="8">
        <v>100000</v>
      </c>
      <c r="E406">
        <v>6</v>
      </c>
      <c r="F406" s="7">
        <v>0.23</v>
      </c>
      <c r="G406" s="9">
        <f t="shared" si="18"/>
        <v>17802.407141728469</v>
      </c>
      <c r="H406" s="8">
        <f t="shared" si="19"/>
        <v>6814.4428503708041</v>
      </c>
      <c r="I406" s="8">
        <f t="shared" si="20"/>
        <v>106814.4428503708</v>
      </c>
    </row>
    <row r="407" spans="1:9" x14ac:dyDescent="0.25">
      <c r="A407" s="4" t="s">
        <v>158</v>
      </c>
      <c r="B407">
        <v>25</v>
      </c>
      <c r="C407" t="s">
        <v>21</v>
      </c>
      <c r="D407" s="8">
        <v>150000</v>
      </c>
      <c r="E407">
        <v>7</v>
      </c>
      <c r="F407" s="7">
        <v>0.23</v>
      </c>
      <c r="G407" s="9">
        <f t="shared" si="18"/>
        <v>23102.609342417276</v>
      </c>
      <c r="H407" s="8">
        <f t="shared" si="19"/>
        <v>11718.265396920935</v>
      </c>
      <c r="I407" s="8">
        <f t="shared" si="20"/>
        <v>161718.26539692094</v>
      </c>
    </row>
    <row r="408" spans="1:9" x14ac:dyDescent="0.25">
      <c r="A408" s="4" t="s">
        <v>261</v>
      </c>
      <c r="B408">
        <v>24</v>
      </c>
      <c r="C408" t="s">
        <v>50</v>
      </c>
      <c r="D408" s="8">
        <v>150000</v>
      </c>
      <c r="E408">
        <v>8</v>
      </c>
      <c r="F408" s="7">
        <v>0.26</v>
      </c>
      <c r="G408" s="9">
        <f t="shared" si="18"/>
        <v>20623.819694251095</v>
      </c>
      <c r="H408" s="8">
        <f t="shared" si="19"/>
        <v>14990.557554008759</v>
      </c>
      <c r="I408" s="8">
        <f t="shared" si="20"/>
        <v>164990.55755400876</v>
      </c>
    </row>
    <row r="409" spans="1:9" x14ac:dyDescent="0.25">
      <c r="A409" s="4" t="s">
        <v>174</v>
      </c>
      <c r="B409">
        <v>29</v>
      </c>
      <c r="C409" t="s">
        <v>25</v>
      </c>
      <c r="D409" s="8">
        <v>120000</v>
      </c>
      <c r="E409">
        <v>8</v>
      </c>
      <c r="F409" s="7">
        <v>0.26</v>
      </c>
      <c r="G409" s="9">
        <f t="shared" si="18"/>
        <v>16499.055755400877</v>
      </c>
      <c r="H409" s="8">
        <f t="shared" si="19"/>
        <v>11992.446043207019</v>
      </c>
      <c r="I409" s="8">
        <f t="shared" si="20"/>
        <v>131992.44604320702</v>
      </c>
    </row>
    <row r="410" spans="1:9" x14ac:dyDescent="0.25">
      <c r="A410" s="4" t="s">
        <v>279</v>
      </c>
      <c r="B410">
        <v>23</v>
      </c>
      <c r="C410" t="s">
        <v>31</v>
      </c>
      <c r="D410" s="8">
        <v>130000</v>
      </c>
      <c r="E410">
        <v>5</v>
      </c>
      <c r="F410" s="7">
        <v>0.22</v>
      </c>
      <c r="G410" s="9">
        <f t="shared" si="18"/>
        <v>27447.31701985457</v>
      </c>
      <c r="H410" s="8">
        <f t="shared" si="19"/>
        <v>7236.5850992728374</v>
      </c>
      <c r="I410" s="8">
        <f t="shared" si="20"/>
        <v>137236.58509927284</v>
      </c>
    </row>
    <row r="411" spans="1:9" x14ac:dyDescent="0.25">
      <c r="A411" s="4" t="s">
        <v>280</v>
      </c>
      <c r="B411">
        <v>18</v>
      </c>
      <c r="C411" t="s">
        <v>19</v>
      </c>
      <c r="D411" s="8">
        <v>140000</v>
      </c>
      <c r="E411">
        <v>5</v>
      </c>
      <c r="F411" s="7">
        <v>0.23</v>
      </c>
      <c r="G411" s="9">
        <f t="shared" si="18"/>
        <v>29630.374373123472</v>
      </c>
      <c r="H411" s="8">
        <f t="shared" si="19"/>
        <v>8151.8718656173442</v>
      </c>
      <c r="I411" s="8">
        <f t="shared" si="20"/>
        <v>148151.87186561734</v>
      </c>
    </row>
    <row r="412" spans="1:9" x14ac:dyDescent="0.25">
      <c r="A412" s="4" t="s">
        <v>115</v>
      </c>
      <c r="B412">
        <v>22</v>
      </c>
      <c r="C412" t="s">
        <v>45</v>
      </c>
      <c r="D412" s="8">
        <v>120000</v>
      </c>
      <c r="E412">
        <v>6</v>
      </c>
      <c r="F412" s="7">
        <v>0.21</v>
      </c>
      <c r="G412" s="9">
        <f t="shared" si="18"/>
        <v>21242.706782134737</v>
      </c>
      <c r="H412" s="8">
        <f t="shared" si="19"/>
        <v>7456.2406928084238</v>
      </c>
      <c r="I412" s="8">
        <f t="shared" si="20"/>
        <v>127456.24069280842</v>
      </c>
    </row>
    <row r="413" spans="1:9" x14ac:dyDescent="0.25">
      <c r="A413" s="4" t="s">
        <v>281</v>
      </c>
      <c r="B413">
        <v>18</v>
      </c>
      <c r="C413" t="s">
        <v>36</v>
      </c>
      <c r="D413" s="8">
        <v>190000</v>
      </c>
      <c r="E413">
        <v>7</v>
      </c>
      <c r="F413" s="7">
        <v>0.25</v>
      </c>
      <c r="G413" s="9">
        <f t="shared" si="18"/>
        <v>29451.384252912714</v>
      </c>
      <c r="H413" s="8">
        <f t="shared" si="19"/>
        <v>16159.689770388999</v>
      </c>
      <c r="I413" s="8">
        <f t="shared" si="20"/>
        <v>206159.689770389</v>
      </c>
    </row>
    <row r="414" spans="1:9" x14ac:dyDescent="0.25">
      <c r="A414" s="4" t="s">
        <v>282</v>
      </c>
      <c r="B414">
        <v>18</v>
      </c>
      <c r="C414" t="s">
        <v>72</v>
      </c>
      <c r="D414" s="8">
        <v>160000</v>
      </c>
      <c r="E414">
        <v>7</v>
      </c>
      <c r="F414" s="7">
        <v>0.25</v>
      </c>
      <c r="G414" s="9">
        <f t="shared" si="18"/>
        <v>24801.165686663335</v>
      </c>
      <c r="H414" s="8">
        <f t="shared" si="19"/>
        <v>13608.159806643351</v>
      </c>
      <c r="I414" s="8">
        <f t="shared" si="20"/>
        <v>173608.15980664335</v>
      </c>
    </row>
    <row r="415" spans="1:9" x14ac:dyDescent="0.25">
      <c r="A415" s="4" t="s">
        <v>283</v>
      </c>
      <c r="B415">
        <v>28</v>
      </c>
      <c r="C415" t="s">
        <v>79</v>
      </c>
      <c r="D415" s="8">
        <v>100000</v>
      </c>
      <c r="E415">
        <v>6</v>
      </c>
      <c r="F415" s="7">
        <v>0.22</v>
      </c>
      <c r="G415" s="9">
        <f t="shared" si="18"/>
        <v>17752.298585285258</v>
      </c>
      <c r="H415" s="8">
        <f t="shared" si="19"/>
        <v>6513.7915117115481</v>
      </c>
      <c r="I415" s="8">
        <f t="shared" si="20"/>
        <v>106513.79151171155</v>
      </c>
    </row>
    <row r="416" spans="1:9" x14ac:dyDescent="0.25">
      <c r="A416" s="4" t="s">
        <v>147</v>
      </c>
      <c r="B416">
        <v>28</v>
      </c>
      <c r="C416" t="s">
        <v>79</v>
      </c>
      <c r="D416" s="8">
        <v>180000</v>
      </c>
      <c r="E416">
        <v>8</v>
      </c>
      <c r="F416" s="7">
        <v>0.26</v>
      </c>
      <c r="G416" s="9">
        <f t="shared" si="18"/>
        <v>24748.583633101316</v>
      </c>
      <c r="H416" s="8">
        <f t="shared" si="19"/>
        <v>17988.669064810529</v>
      </c>
      <c r="I416" s="8">
        <f t="shared" si="20"/>
        <v>197988.66906481053</v>
      </c>
    </row>
    <row r="417" spans="1:9" x14ac:dyDescent="0.25">
      <c r="A417" s="4" t="s">
        <v>34</v>
      </c>
      <c r="B417">
        <v>22</v>
      </c>
      <c r="C417" t="s">
        <v>21</v>
      </c>
      <c r="D417" s="8">
        <v>200000</v>
      </c>
      <c r="E417">
        <v>5</v>
      </c>
      <c r="F417" s="7">
        <v>0.23</v>
      </c>
      <c r="G417" s="9">
        <f t="shared" si="18"/>
        <v>42329.106247319251</v>
      </c>
      <c r="H417" s="8">
        <f t="shared" si="19"/>
        <v>11645.53123659626</v>
      </c>
      <c r="I417" s="8">
        <f t="shared" si="20"/>
        <v>211645.53123659626</v>
      </c>
    </row>
    <row r="418" spans="1:9" x14ac:dyDescent="0.25">
      <c r="A418" s="4" t="s">
        <v>284</v>
      </c>
      <c r="B418">
        <v>19</v>
      </c>
      <c r="C418" t="s">
        <v>27</v>
      </c>
      <c r="D418" s="8">
        <v>170000</v>
      </c>
      <c r="E418">
        <v>9</v>
      </c>
      <c r="F418" s="7">
        <v>0.25</v>
      </c>
      <c r="G418" s="9">
        <f t="shared" si="18"/>
        <v>20910.543885307634</v>
      </c>
      <c r="H418" s="8">
        <f t="shared" si="19"/>
        <v>18194.894967768691</v>
      </c>
      <c r="I418" s="8">
        <f t="shared" si="20"/>
        <v>188194.89496776869</v>
      </c>
    </row>
    <row r="419" spans="1:9" x14ac:dyDescent="0.25">
      <c r="A419" s="4" t="s">
        <v>66</v>
      </c>
      <c r="B419">
        <v>22</v>
      </c>
      <c r="C419" t="s">
        <v>79</v>
      </c>
      <c r="D419" s="8">
        <v>190000</v>
      </c>
      <c r="E419">
        <v>8</v>
      </c>
      <c r="F419" s="7">
        <v>0.27</v>
      </c>
      <c r="G419" s="9">
        <f t="shared" si="18"/>
        <v>26217.077432678765</v>
      </c>
      <c r="H419" s="8">
        <f t="shared" si="19"/>
        <v>19736.61946143012</v>
      </c>
      <c r="I419" s="8">
        <f t="shared" si="20"/>
        <v>209736.61946143012</v>
      </c>
    </row>
    <row r="420" spans="1:9" x14ac:dyDescent="0.25">
      <c r="A420" s="4" t="s">
        <v>285</v>
      </c>
      <c r="B420">
        <v>21</v>
      </c>
      <c r="C420" t="s">
        <v>27</v>
      </c>
      <c r="D420" s="8">
        <v>160000</v>
      </c>
      <c r="E420">
        <v>9</v>
      </c>
      <c r="F420" s="7">
        <v>0.28000000000000003</v>
      </c>
      <c r="G420" s="9">
        <f t="shared" si="18"/>
        <v>19915.590968655415</v>
      </c>
      <c r="H420" s="8">
        <f t="shared" si="19"/>
        <v>19240.318717898743</v>
      </c>
      <c r="I420" s="8">
        <f t="shared" si="20"/>
        <v>179240.31871789874</v>
      </c>
    </row>
    <row r="421" spans="1:9" x14ac:dyDescent="0.25">
      <c r="A421" s="4" t="s">
        <v>226</v>
      </c>
      <c r="B421">
        <v>23</v>
      </c>
      <c r="C421" t="s">
        <v>31</v>
      </c>
      <c r="D421" s="8">
        <v>150000</v>
      </c>
      <c r="E421">
        <v>8</v>
      </c>
      <c r="F421" s="7">
        <v>0.25</v>
      </c>
      <c r="G421" s="9">
        <f t="shared" si="18"/>
        <v>20550.078684078304</v>
      </c>
      <c r="H421" s="8">
        <f t="shared" si="19"/>
        <v>14400.629472626431</v>
      </c>
      <c r="I421" s="8">
        <f t="shared" si="20"/>
        <v>164400.62947262643</v>
      </c>
    </row>
    <row r="422" spans="1:9" x14ac:dyDescent="0.25">
      <c r="A422" s="4" t="s">
        <v>170</v>
      </c>
      <c r="B422">
        <v>30</v>
      </c>
      <c r="C422" t="s">
        <v>72</v>
      </c>
      <c r="D422" s="8">
        <v>190000</v>
      </c>
      <c r="E422">
        <v>5</v>
      </c>
      <c r="F422" s="7">
        <v>0.22</v>
      </c>
      <c r="G422" s="9">
        <f t="shared" si="18"/>
        <v>40115.309490556683</v>
      </c>
      <c r="H422" s="8">
        <f t="shared" si="19"/>
        <v>10576.547452783416</v>
      </c>
      <c r="I422" s="8">
        <f t="shared" si="20"/>
        <v>200576.54745278342</v>
      </c>
    </row>
    <row r="423" spans="1:9" x14ac:dyDescent="0.25">
      <c r="A423" s="4" t="s">
        <v>228</v>
      </c>
      <c r="B423">
        <v>18</v>
      </c>
      <c r="C423" t="s">
        <v>62</v>
      </c>
      <c r="D423" s="8">
        <v>180000</v>
      </c>
      <c r="E423">
        <v>7</v>
      </c>
      <c r="F423" s="7">
        <v>0.25</v>
      </c>
      <c r="G423" s="9">
        <f t="shared" si="18"/>
        <v>27901.311397496251</v>
      </c>
      <c r="H423" s="8">
        <f t="shared" si="19"/>
        <v>15309.179782473744</v>
      </c>
      <c r="I423" s="8">
        <f t="shared" si="20"/>
        <v>195309.17978247374</v>
      </c>
    </row>
    <row r="424" spans="1:9" x14ac:dyDescent="0.25">
      <c r="A424" s="4" t="s">
        <v>286</v>
      </c>
      <c r="B424">
        <v>19</v>
      </c>
      <c r="C424" t="s">
        <v>62</v>
      </c>
      <c r="D424" s="8">
        <v>140000</v>
      </c>
      <c r="E424">
        <v>9</v>
      </c>
      <c r="F424" s="7">
        <v>0.27</v>
      </c>
      <c r="G424" s="9">
        <f t="shared" si="18"/>
        <v>17357.438547639653</v>
      </c>
      <c r="H424" s="8">
        <f t="shared" si="19"/>
        <v>16216.946928756865</v>
      </c>
      <c r="I424" s="8">
        <f t="shared" si="20"/>
        <v>156216.94692875686</v>
      </c>
    </row>
    <row r="425" spans="1:9" x14ac:dyDescent="0.25">
      <c r="A425" s="4" t="s">
        <v>75</v>
      </c>
      <c r="B425">
        <v>20</v>
      </c>
      <c r="C425" t="s">
        <v>15</v>
      </c>
      <c r="D425" s="8">
        <v>200000</v>
      </c>
      <c r="E425">
        <v>6</v>
      </c>
      <c r="F425" s="7">
        <v>0.21</v>
      </c>
      <c r="G425" s="9">
        <f t="shared" si="18"/>
        <v>35404.511303557891</v>
      </c>
      <c r="H425" s="8">
        <f t="shared" si="19"/>
        <v>12427.067821347329</v>
      </c>
      <c r="I425" s="8">
        <f t="shared" si="20"/>
        <v>212427.06782134733</v>
      </c>
    </row>
    <row r="426" spans="1:9" x14ac:dyDescent="0.25">
      <c r="A426" s="4" t="s">
        <v>214</v>
      </c>
      <c r="B426">
        <v>21</v>
      </c>
      <c r="C426" t="s">
        <v>50</v>
      </c>
      <c r="D426" s="8">
        <v>130000</v>
      </c>
      <c r="E426">
        <v>8</v>
      </c>
      <c r="F426" s="7">
        <v>0.25</v>
      </c>
      <c r="G426" s="9">
        <f t="shared" si="18"/>
        <v>17810.06819286786</v>
      </c>
      <c r="H426" s="8">
        <f t="shared" si="19"/>
        <v>12480.545542942884</v>
      </c>
      <c r="I426" s="8">
        <f t="shared" si="20"/>
        <v>142480.54554294288</v>
      </c>
    </row>
    <row r="427" spans="1:9" x14ac:dyDescent="0.25">
      <c r="A427" s="4" t="s">
        <v>60</v>
      </c>
      <c r="B427">
        <v>26</v>
      </c>
      <c r="C427" t="s">
        <v>15</v>
      </c>
      <c r="D427" s="8">
        <v>200000</v>
      </c>
      <c r="E427">
        <v>7</v>
      </c>
      <c r="F427" s="7">
        <v>0.24</v>
      </c>
      <c r="G427" s="9">
        <f t="shared" si="18"/>
        <v>30902.391220619906</v>
      </c>
      <c r="H427" s="8">
        <f t="shared" si="19"/>
        <v>16316.738544339343</v>
      </c>
      <c r="I427" s="8">
        <f t="shared" si="20"/>
        <v>216316.73854433934</v>
      </c>
    </row>
    <row r="428" spans="1:9" x14ac:dyDescent="0.25">
      <c r="A428" s="4" t="s">
        <v>287</v>
      </c>
      <c r="B428">
        <v>22</v>
      </c>
      <c r="C428" t="s">
        <v>19</v>
      </c>
      <c r="D428" s="8">
        <v>200000</v>
      </c>
      <c r="E428">
        <v>6</v>
      </c>
      <c r="F428" s="7">
        <v>0.23</v>
      </c>
      <c r="G428" s="9">
        <f t="shared" si="18"/>
        <v>35604.814283456937</v>
      </c>
      <c r="H428" s="8">
        <f t="shared" si="19"/>
        <v>13628.885700741608</v>
      </c>
      <c r="I428" s="8">
        <f t="shared" si="20"/>
        <v>213628.88570074161</v>
      </c>
    </row>
    <row r="429" spans="1:9" x14ac:dyDescent="0.25">
      <c r="A429" s="4" t="s">
        <v>44</v>
      </c>
      <c r="B429">
        <v>24</v>
      </c>
      <c r="C429" t="s">
        <v>15</v>
      </c>
      <c r="D429" s="8">
        <v>190000</v>
      </c>
      <c r="E429">
        <v>9</v>
      </c>
      <c r="F429" s="7">
        <v>0.27</v>
      </c>
      <c r="G429" s="9">
        <f t="shared" si="18"/>
        <v>23556.52374322524</v>
      </c>
      <c r="H429" s="8">
        <f t="shared" si="19"/>
        <v>22008.71368902715</v>
      </c>
      <c r="I429" s="8">
        <f t="shared" si="20"/>
        <v>212008.71368902715</v>
      </c>
    </row>
    <row r="430" spans="1:9" x14ac:dyDescent="0.25">
      <c r="A430" s="4" t="s">
        <v>130</v>
      </c>
      <c r="B430">
        <v>26</v>
      </c>
      <c r="C430" t="s">
        <v>19</v>
      </c>
      <c r="D430" s="8">
        <v>180000</v>
      </c>
      <c r="E430">
        <v>6</v>
      </c>
      <c r="F430" s="7">
        <v>0.22</v>
      </c>
      <c r="G430" s="9">
        <f t="shared" si="18"/>
        <v>31954.137453513467</v>
      </c>
      <c r="H430" s="8">
        <f t="shared" si="19"/>
        <v>11724.824721080804</v>
      </c>
      <c r="I430" s="8">
        <f t="shared" si="20"/>
        <v>191724.8247210808</v>
      </c>
    </row>
    <row r="431" spans="1:9" x14ac:dyDescent="0.25">
      <c r="A431" s="4" t="s">
        <v>163</v>
      </c>
      <c r="B431">
        <v>18</v>
      </c>
      <c r="C431" t="s">
        <v>21</v>
      </c>
      <c r="D431" s="8">
        <v>160000</v>
      </c>
      <c r="E431">
        <v>8</v>
      </c>
      <c r="F431" s="7">
        <v>0.25</v>
      </c>
      <c r="G431" s="9">
        <f t="shared" si="18"/>
        <v>21920.083929683522</v>
      </c>
      <c r="H431" s="8">
        <f t="shared" si="19"/>
        <v>15360.671437468176</v>
      </c>
      <c r="I431" s="8">
        <f t="shared" si="20"/>
        <v>175360.67143746818</v>
      </c>
    </row>
    <row r="432" spans="1:9" x14ac:dyDescent="0.25">
      <c r="A432" s="4" t="s">
        <v>165</v>
      </c>
      <c r="B432">
        <v>23</v>
      </c>
      <c r="C432" t="s">
        <v>50</v>
      </c>
      <c r="D432" s="8">
        <v>100000</v>
      </c>
      <c r="E432">
        <v>5</v>
      </c>
      <c r="F432" s="7">
        <v>0.21</v>
      </c>
      <c r="G432" s="9">
        <f t="shared" si="18"/>
        <v>21062.142463260087</v>
      </c>
      <c r="H432" s="8">
        <f t="shared" si="19"/>
        <v>5310.7123163004289</v>
      </c>
      <c r="I432" s="8">
        <f t="shared" si="20"/>
        <v>105310.71231630043</v>
      </c>
    </row>
    <row r="433" spans="1:9" x14ac:dyDescent="0.25">
      <c r="A433" s="4" t="s">
        <v>288</v>
      </c>
      <c r="B433">
        <v>23</v>
      </c>
      <c r="C433" t="s">
        <v>31</v>
      </c>
      <c r="D433" s="8">
        <v>190000</v>
      </c>
      <c r="E433">
        <v>7</v>
      </c>
      <c r="F433" s="7">
        <v>0.25</v>
      </c>
      <c r="G433" s="9">
        <f t="shared" si="18"/>
        <v>29451.384252912714</v>
      </c>
      <c r="H433" s="8">
        <f t="shared" si="19"/>
        <v>16159.689770388999</v>
      </c>
      <c r="I433" s="8">
        <f t="shared" si="20"/>
        <v>206159.689770389</v>
      </c>
    </row>
    <row r="434" spans="1:9" x14ac:dyDescent="0.25">
      <c r="A434" s="4" t="s">
        <v>289</v>
      </c>
      <c r="B434">
        <v>29</v>
      </c>
      <c r="C434" t="s">
        <v>62</v>
      </c>
      <c r="D434" s="8">
        <v>170000</v>
      </c>
      <c r="E434">
        <v>9</v>
      </c>
      <c r="F434" s="7">
        <v>0.25</v>
      </c>
      <c r="G434" s="9">
        <f t="shared" si="18"/>
        <v>20910.543885307634</v>
      </c>
      <c r="H434" s="8">
        <f t="shared" si="19"/>
        <v>18194.894967768691</v>
      </c>
      <c r="I434" s="8">
        <f t="shared" si="20"/>
        <v>188194.89496776869</v>
      </c>
    </row>
    <row r="435" spans="1:9" x14ac:dyDescent="0.25">
      <c r="A435" s="4" t="s">
        <v>203</v>
      </c>
      <c r="B435">
        <v>21</v>
      </c>
      <c r="C435" t="s">
        <v>33</v>
      </c>
      <c r="D435" s="8">
        <v>120000</v>
      </c>
      <c r="E435">
        <v>8</v>
      </c>
      <c r="F435" s="7">
        <v>0.27</v>
      </c>
      <c r="G435" s="9">
        <f t="shared" si="18"/>
        <v>16558.154168007641</v>
      </c>
      <c r="H435" s="8">
        <f t="shared" si="19"/>
        <v>12465.233344061126</v>
      </c>
      <c r="I435" s="8">
        <f t="shared" si="20"/>
        <v>132465.23334406113</v>
      </c>
    </row>
    <row r="436" spans="1:9" x14ac:dyDescent="0.25">
      <c r="A436" s="4" t="s">
        <v>248</v>
      </c>
      <c r="B436">
        <v>26</v>
      </c>
      <c r="C436" t="s">
        <v>33</v>
      </c>
      <c r="D436" s="8">
        <v>110000</v>
      </c>
      <c r="E436">
        <v>5</v>
      </c>
      <c r="F436" s="7">
        <v>0.21</v>
      </c>
      <c r="G436" s="9">
        <f t="shared" si="18"/>
        <v>23168.356709586096</v>
      </c>
      <c r="H436" s="8">
        <f t="shared" si="19"/>
        <v>5841.7835479304777</v>
      </c>
      <c r="I436" s="8">
        <f t="shared" si="20"/>
        <v>115841.78354793048</v>
      </c>
    </row>
    <row r="437" spans="1:9" x14ac:dyDescent="0.25">
      <c r="A437" s="4" t="s">
        <v>170</v>
      </c>
      <c r="B437">
        <v>30</v>
      </c>
      <c r="C437" t="s">
        <v>23</v>
      </c>
      <c r="D437" s="8">
        <v>130000</v>
      </c>
      <c r="E437">
        <v>5</v>
      </c>
      <c r="F437" s="7">
        <v>0.21</v>
      </c>
      <c r="G437" s="9">
        <f t="shared" si="18"/>
        <v>27380.785202238112</v>
      </c>
      <c r="H437" s="8">
        <f t="shared" si="19"/>
        <v>6903.9260111905751</v>
      </c>
      <c r="I437" s="8">
        <f t="shared" si="20"/>
        <v>136903.92601119058</v>
      </c>
    </row>
    <row r="438" spans="1:9" x14ac:dyDescent="0.25">
      <c r="A438" s="4" t="s">
        <v>290</v>
      </c>
      <c r="B438">
        <v>24</v>
      </c>
      <c r="C438" t="s">
        <v>25</v>
      </c>
      <c r="D438" s="8">
        <v>150000</v>
      </c>
      <c r="E438">
        <v>7</v>
      </c>
      <c r="F438" s="7">
        <v>0.23</v>
      </c>
      <c r="G438" s="9">
        <f t="shared" si="18"/>
        <v>23102.609342417276</v>
      </c>
      <c r="H438" s="8">
        <f t="shared" si="19"/>
        <v>11718.265396920935</v>
      </c>
      <c r="I438" s="8">
        <f t="shared" si="20"/>
        <v>161718.26539692094</v>
      </c>
    </row>
    <row r="439" spans="1:9" x14ac:dyDescent="0.25">
      <c r="A439" s="4" t="s">
        <v>174</v>
      </c>
      <c r="B439">
        <v>18</v>
      </c>
      <c r="C439" t="s">
        <v>17</v>
      </c>
      <c r="D439" s="8">
        <v>130000</v>
      </c>
      <c r="E439">
        <v>9</v>
      </c>
      <c r="F439" s="7">
        <v>0.27</v>
      </c>
      <c r="G439" s="9">
        <f t="shared" si="18"/>
        <v>16117.621508522534</v>
      </c>
      <c r="H439" s="8">
        <f t="shared" si="19"/>
        <v>15058.593576702813</v>
      </c>
      <c r="I439" s="8">
        <f t="shared" si="20"/>
        <v>145058.59357670281</v>
      </c>
    </row>
    <row r="440" spans="1:9" x14ac:dyDescent="0.25">
      <c r="A440" s="4" t="s">
        <v>141</v>
      </c>
      <c r="B440">
        <v>21</v>
      </c>
      <c r="C440" t="s">
        <v>23</v>
      </c>
      <c r="D440" s="8">
        <v>160000</v>
      </c>
      <c r="E440">
        <v>6</v>
      </c>
      <c r="F440" s="7">
        <v>0.23</v>
      </c>
      <c r="G440" s="9">
        <f t="shared" si="18"/>
        <v>28483.851426765552</v>
      </c>
      <c r="H440" s="8">
        <f t="shared" si="19"/>
        <v>10903.108560593304</v>
      </c>
      <c r="I440" s="8">
        <f t="shared" si="20"/>
        <v>170903.1085605933</v>
      </c>
    </row>
    <row r="441" spans="1:9" x14ac:dyDescent="0.25">
      <c r="A441" s="4" t="s">
        <v>219</v>
      </c>
      <c r="B441">
        <v>27</v>
      </c>
      <c r="C441" t="s">
        <v>17</v>
      </c>
      <c r="D441" s="8">
        <v>150000</v>
      </c>
      <c r="E441">
        <v>6</v>
      </c>
      <c r="F441" s="7">
        <v>0.21</v>
      </c>
      <c r="G441" s="9">
        <f t="shared" si="18"/>
        <v>26553.38347766842</v>
      </c>
      <c r="H441" s="8">
        <f t="shared" si="19"/>
        <v>9320.3008660105115</v>
      </c>
      <c r="I441" s="8">
        <f t="shared" si="20"/>
        <v>159320.30086601051</v>
      </c>
    </row>
    <row r="442" spans="1:9" x14ac:dyDescent="0.25">
      <c r="A442" s="4" t="s">
        <v>216</v>
      </c>
      <c r="B442">
        <v>26</v>
      </c>
      <c r="C442" t="s">
        <v>15</v>
      </c>
      <c r="D442" s="8">
        <v>120000</v>
      </c>
      <c r="E442">
        <v>6</v>
      </c>
      <c r="F442" s="7">
        <v>0.22</v>
      </c>
      <c r="G442" s="9">
        <f t="shared" si="18"/>
        <v>21302.758302342314</v>
      </c>
      <c r="H442" s="8">
        <f t="shared" si="19"/>
        <v>7816.5498140538839</v>
      </c>
      <c r="I442" s="8">
        <f t="shared" si="20"/>
        <v>127816.54981405388</v>
      </c>
    </row>
    <row r="443" spans="1:9" x14ac:dyDescent="0.25">
      <c r="A443" s="4" t="s">
        <v>239</v>
      </c>
      <c r="B443">
        <v>20</v>
      </c>
      <c r="C443" t="s">
        <v>50</v>
      </c>
      <c r="D443" s="8">
        <v>140000</v>
      </c>
      <c r="E443">
        <v>6</v>
      </c>
      <c r="F443" s="7">
        <v>0.23</v>
      </c>
      <c r="G443" s="9">
        <f t="shared" si="18"/>
        <v>24923.369998419857</v>
      </c>
      <c r="H443" s="8">
        <f t="shared" si="19"/>
        <v>9540.2199905191374</v>
      </c>
      <c r="I443" s="8">
        <f t="shared" si="20"/>
        <v>149540.21999051914</v>
      </c>
    </row>
    <row r="444" spans="1:9" x14ac:dyDescent="0.25">
      <c r="A444" s="4" t="s">
        <v>97</v>
      </c>
      <c r="B444">
        <v>24</v>
      </c>
      <c r="C444" t="s">
        <v>21</v>
      </c>
      <c r="D444" s="8">
        <v>110000</v>
      </c>
      <c r="E444">
        <v>6</v>
      </c>
      <c r="F444" s="7">
        <v>0.22</v>
      </c>
      <c r="G444" s="9">
        <f t="shared" si="18"/>
        <v>19527.528443813782</v>
      </c>
      <c r="H444" s="8">
        <f t="shared" si="19"/>
        <v>7165.1706628826942</v>
      </c>
      <c r="I444" s="8">
        <f t="shared" si="20"/>
        <v>117165.17066288269</v>
      </c>
    </row>
    <row r="445" spans="1:9" x14ac:dyDescent="0.25">
      <c r="A445" s="4" t="s">
        <v>219</v>
      </c>
      <c r="B445">
        <v>19</v>
      </c>
      <c r="C445" t="s">
        <v>36</v>
      </c>
      <c r="D445" s="8">
        <v>100000</v>
      </c>
      <c r="E445">
        <v>8</v>
      </c>
      <c r="F445" s="7">
        <v>0.25</v>
      </c>
      <c r="G445" s="9">
        <f t="shared" si="18"/>
        <v>13700.052456052203</v>
      </c>
      <c r="H445" s="8">
        <f t="shared" si="19"/>
        <v>9600.4196484176209</v>
      </c>
      <c r="I445" s="8">
        <f t="shared" si="20"/>
        <v>109600.41964841762</v>
      </c>
    </row>
    <row r="446" spans="1:9" x14ac:dyDescent="0.25">
      <c r="A446" s="4" t="s">
        <v>291</v>
      </c>
      <c r="B446">
        <v>22</v>
      </c>
      <c r="C446" t="s">
        <v>21</v>
      </c>
      <c r="D446" s="8">
        <v>110000</v>
      </c>
      <c r="E446">
        <v>6</v>
      </c>
      <c r="F446" s="7">
        <v>0.22</v>
      </c>
      <c r="G446" s="9">
        <f t="shared" si="18"/>
        <v>19527.528443813782</v>
      </c>
      <c r="H446" s="8">
        <f t="shared" si="19"/>
        <v>7165.1706628826942</v>
      </c>
      <c r="I446" s="8">
        <f t="shared" si="20"/>
        <v>117165.17066288269</v>
      </c>
    </row>
    <row r="447" spans="1:9" x14ac:dyDescent="0.25">
      <c r="A447" s="4" t="s">
        <v>43</v>
      </c>
      <c r="B447">
        <v>28</v>
      </c>
      <c r="C447" t="s">
        <v>62</v>
      </c>
      <c r="D447" s="8">
        <v>200000</v>
      </c>
      <c r="E447">
        <v>7</v>
      </c>
      <c r="F447" s="7">
        <v>0.23</v>
      </c>
      <c r="G447" s="9">
        <f t="shared" si="18"/>
        <v>30803.479123223035</v>
      </c>
      <c r="H447" s="8">
        <f t="shared" si="19"/>
        <v>15624.353862561227</v>
      </c>
      <c r="I447" s="8">
        <f t="shared" si="20"/>
        <v>215624.35386256123</v>
      </c>
    </row>
    <row r="448" spans="1:9" x14ac:dyDescent="0.25">
      <c r="A448" s="4" t="s">
        <v>217</v>
      </c>
      <c r="B448">
        <v>19</v>
      </c>
      <c r="C448" t="s">
        <v>17</v>
      </c>
      <c r="D448" s="8">
        <v>130000</v>
      </c>
      <c r="E448">
        <v>8</v>
      </c>
      <c r="F448" s="7">
        <v>0.25</v>
      </c>
      <c r="G448" s="9">
        <f t="shared" si="18"/>
        <v>17810.06819286786</v>
      </c>
      <c r="H448" s="8">
        <f t="shared" si="19"/>
        <v>12480.545542942884</v>
      </c>
      <c r="I448" s="8">
        <f t="shared" si="20"/>
        <v>142480.54554294288</v>
      </c>
    </row>
    <row r="449" spans="1:9" x14ac:dyDescent="0.25">
      <c r="A449" s="4" t="s">
        <v>284</v>
      </c>
      <c r="B449">
        <v>27</v>
      </c>
      <c r="C449" t="s">
        <v>72</v>
      </c>
      <c r="D449" s="8">
        <v>150000</v>
      </c>
      <c r="E449">
        <v>8</v>
      </c>
      <c r="F449" s="7">
        <v>0.28000000000000003</v>
      </c>
      <c r="G449" s="9">
        <f t="shared" si="18"/>
        <v>20771.697540094417</v>
      </c>
      <c r="H449" s="8">
        <f t="shared" si="19"/>
        <v>16173.58032075534</v>
      </c>
      <c r="I449" s="8">
        <f t="shared" si="20"/>
        <v>166173.58032075534</v>
      </c>
    </row>
    <row r="450" spans="1:9" x14ac:dyDescent="0.25">
      <c r="A450" s="4" t="s">
        <v>292</v>
      </c>
      <c r="B450">
        <v>30</v>
      </c>
      <c r="C450" t="s">
        <v>19</v>
      </c>
      <c r="D450" s="8">
        <v>150000</v>
      </c>
      <c r="E450">
        <v>5</v>
      </c>
      <c r="F450" s="7">
        <v>0.23</v>
      </c>
      <c r="G450" s="9">
        <f t="shared" si="18"/>
        <v>31746.829685489436</v>
      </c>
      <c r="H450" s="8">
        <f t="shared" si="19"/>
        <v>8734.1484274471877</v>
      </c>
      <c r="I450" s="8">
        <f t="shared" si="20"/>
        <v>158734.14842744719</v>
      </c>
    </row>
    <row r="451" spans="1:9" x14ac:dyDescent="0.25">
      <c r="A451" s="4" t="s">
        <v>228</v>
      </c>
      <c r="B451">
        <v>19</v>
      </c>
      <c r="C451" t="s">
        <v>19</v>
      </c>
      <c r="D451" s="8">
        <v>150000</v>
      </c>
      <c r="E451">
        <v>5</v>
      </c>
      <c r="F451" s="7">
        <v>0.23</v>
      </c>
      <c r="G451" s="9">
        <f t="shared" si="18"/>
        <v>31746.829685489436</v>
      </c>
      <c r="H451" s="8">
        <f t="shared" si="19"/>
        <v>8734.1484274471877</v>
      </c>
      <c r="I451" s="8">
        <f t="shared" si="20"/>
        <v>158734.14842744719</v>
      </c>
    </row>
    <row r="452" spans="1:9" x14ac:dyDescent="0.25">
      <c r="A452" s="4" t="s">
        <v>293</v>
      </c>
      <c r="B452">
        <v>28</v>
      </c>
      <c r="C452" t="s">
        <v>19</v>
      </c>
      <c r="D452" s="8">
        <v>100000</v>
      </c>
      <c r="E452">
        <v>5</v>
      </c>
      <c r="F452" s="7">
        <v>0.22</v>
      </c>
      <c r="G452" s="9">
        <f t="shared" si="18"/>
        <v>21113.320784503518</v>
      </c>
      <c r="H452" s="8">
        <f t="shared" si="19"/>
        <v>5566.6039225175919</v>
      </c>
      <c r="I452" s="8">
        <f t="shared" si="20"/>
        <v>105566.60392251759</v>
      </c>
    </row>
    <row r="453" spans="1:9" x14ac:dyDescent="0.25">
      <c r="A453" s="4" t="s">
        <v>294</v>
      </c>
      <c r="B453">
        <v>22</v>
      </c>
      <c r="C453" t="s">
        <v>33</v>
      </c>
      <c r="D453" s="8">
        <v>110000</v>
      </c>
      <c r="E453">
        <v>7</v>
      </c>
      <c r="F453" s="7">
        <v>0.25</v>
      </c>
      <c r="G453" s="9">
        <f t="shared" si="18"/>
        <v>17050.801409581043</v>
      </c>
      <c r="H453" s="8">
        <f t="shared" si="19"/>
        <v>9355.6098670673091</v>
      </c>
      <c r="I453" s="8">
        <f t="shared" si="20"/>
        <v>119355.60986706731</v>
      </c>
    </row>
    <row r="454" spans="1:9" x14ac:dyDescent="0.25">
      <c r="A454" s="4" t="s">
        <v>295</v>
      </c>
      <c r="B454">
        <v>23</v>
      </c>
      <c r="C454" t="s">
        <v>21</v>
      </c>
      <c r="D454" s="8">
        <v>100000</v>
      </c>
      <c r="E454">
        <v>7</v>
      </c>
      <c r="F454" s="7">
        <v>0.23</v>
      </c>
      <c r="G454" s="9">
        <f t="shared" ref="G454:G517" si="21">PMT(F454/12,E454,-D454)</f>
        <v>15401.739561611517</v>
      </c>
      <c r="H454" s="8">
        <f t="shared" ref="H454:H517" si="22">I454-D454</f>
        <v>7812.1769312806136</v>
      </c>
      <c r="I454" s="8">
        <f t="shared" ref="I454:I517" si="23">PRODUCT(G454,E454)</f>
        <v>107812.17693128061</v>
      </c>
    </row>
    <row r="455" spans="1:9" x14ac:dyDescent="0.25">
      <c r="A455" s="4" t="s">
        <v>127</v>
      </c>
      <c r="B455">
        <v>28</v>
      </c>
      <c r="C455" t="s">
        <v>17</v>
      </c>
      <c r="D455" s="8">
        <v>160000</v>
      </c>
      <c r="E455">
        <v>8</v>
      </c>
      <c r="F455" s="7">
        <v>0.27</v>
      </c>
      <c r="G455" s="9">
        <f t="shared" si="21"/>
        <v>22077.538890676853</v>
      </c>
      <c r="H455" s="8">
        <f t="shared" si="22"/>
        <v>16620.311125414824</v>
      </c>
      <c r="I455" s="8">
        <f t="shared" si="23"/>
        <v>176620.31112541482</v>
      </c>
    </row>
    <row r="456" spans="1:9" x14ac:dyDescent="0.25">
      <c r="A456" s="4" t="s">
        <v>111</v>
      </c>
      <c r="B456">
        <v>21</v>
      </c>
      <c r="C456" t="s">
        <v>72</v>
      </c>
      <c r="D456" s="8">
        <v>200000</v>
      </c>
      <c r="E456">
        <v>9</v>
      </c>
      <c r="F456" s="7">
        <v>0.26</v>
      </c>
      <c r="G456" s="9">
        <f t="shared" si="21"/>
        <v>24698.391067223089</v>
      </c>
      <c r="H456" s="8">
        <f t="shared" si="22"/>
        <v>22285.519605007808</v>
      </c>
      <c r="I456" s="8">
        <f t="shared" si="23"/>
        <v>222285.51960500781</v>
      </c>
    </row>
    <row r="457" spans="1:9" x14ac:dyDescent="0.25">
      <c r="A457" s="4" t="s">
        <v>122</v>
      </c>
      <c r="B457">
        <v>27</v>
      </c>
      <c r="C457" t="s">
        <v>19</v>
      </c>
      <c r="D457" s="8">
        <v>190000</v>
      </c>
      <c r="E457">
        <v>9</v>
      </c>
      <c r="F457" s="7">
        <v>0.25</v>
      </c>
      <c r="G457" s="9">
        <f t="shared" si="21"/>
        <v>23370.607871814413</v>
      </c>
      <c r="H457" s="8">
        <f t="shared" si="22"/>
        <v>20335.470846329699</v>
      </c>
      <c r="I457" s="8">
        <f t="shared" si="23"/>
        <v>210335.4708463297</v>
      </c>
    </row>
    <row r="458" spans="1:9" x14ac:dyDescent="0.25">
      <c r="A458" s="4" t="s">
        <v>262</v>
      </c>
      <c r="B458">
        <v>23</v>
      </c>
      <c r="C458" t="s">
        <v>62</v>
      </c>
      <c r="D458" s="8">
        <v>180000</v>
      </c>
      <c r="E458">
        <v>6</v>
      </c>
      <c r="F458" s="7">
        <v>0.23</v>
      </c>
      <c r="G458" s="9">
        <f t="shared" si="21"/>
        <v>32044.332855111246</v>
      </c>
      <c r="H458" s="8">
        <f t="shared" si="22"/>
        <v>12265.997130667471</v>
      </c>
      <c r="I458" s="8">
        <f t="shared" si="23"/>
        <v>192265.99713066747</v>
      </c>
    </row>
    <row r="459" spans="1:9" x14ac:dyDescent="0.25">
      <c r="A459" s="4" t="s">
        <v>194</v>
      </c>
      <c r="B459">
        <v>27</v>
      </c>
      <c r="C459" t="s">
        <v>50</v>
      </c>
      <c r="D459" s="8">
        <v>190000</v>
      </c>
      <c r="E459">
        <v>6</v>
      </c>
      <c r="F459" s="7">
        <v>0.21</v>
      </c>
      <c r="G459" s="9">
        <f t="shared" si="21"/>
        <v>33634.28573838</v>
      </c>
      <c r="H459" s="8">
        <f t="shared" si="22"/>
        <v>11805.714430280001</v>
      </c>
      <c r="I459" s="8">
        <f t="shared" si="23"/>
        <v>201805.71443028</v>
      </c>
    </row>
    <row r="460" spans="1:9" x14ac:dyDescent="0.25">
      <c r="A460" s="4" t="s">
        <v>93</v>
      </c>
      <c r="B460">
        <v>20</v>
      </c>
      <c r="C460" t="s">
        <v>19</v>
      </c>
      <c r="D460" s="8">
        <v>140000</v>
      </c>
      <c r="E460">
        <v>6</v>
      </c>
      <c r="F460" s="7">
        <v>0.23</v>
      </c>
      <c r="G460" s="9">
        <f t="shared" si="21"/>
        <v>24923.369998419857</v>
      </c>
      <c r="H460" s="8">
        <f t="shared" si="22"/>
        <v>9540.2199905191374</v>
      </c>
      <c r="I460" s="8">
        <f t="shared" si="23"/>
        <v>149540.21999051914</v>
      </c>
    </row>
    <row r="461" spans="1:9" x14ac:dyDescent="0.25">
      <c r="A461" s="4" t="s">
        <v>296</v>
      </c>
      <c r="B461">
        <v>24</v>
      </c>
      <c r="C461" t="s">
        <v>27</v>
      </c>
      <c r="D461" s="8">
        <v>110000</v>
      </c>
      <c r="E461">
        <v>5</v>
      </c>
      <c r="F461" s="7">
        <v>0.22</v>
      </c>
      <c r="G461" s="9">
        <f t="shared" si="21"/>
        <v>23224.65286295387</v>
      </c>
      <c r="H461" s="8">
        <f t="shared" si="22"/>
        <v>6123.2643147693452</v>
      </c>
      <c r="I461" s="8">
        <f t="shared" si="23"/>
        <v>116123.26431476935</v>
      </c>
    </row>
    <row r="462" spans="1:9" x14ac:dyDescent="0.25">
      <c r="A462" s="4" t="s">
        <v>214</v>
      </c>
      <c r="B462">
        <v>26</v>
      </c>
      <c r="C462" t="s">
        <v>72</v>
      </c>
      <c r="D462" s="8">
        <v>120000</v>
      </c>
      <c r="E462">
        <v>5</v>
      </c>
      <c r="F462" s="7">
        <v>0.23</v>
      </c>
      <c r="G462" s="9">
        <f t="shared" si="21"/>
        <v>25397.46374839155</v>
      </c>
      <c r="H462" s="8">
        <f t="shared" si="22"/>
        <v>6987.3187419577444</v>
      </c>
      <c r="I462" s="8">
        <f t="shared" si="23"/>
        <v>126987.31874195774</v>
      </c>
    </row>
    <row r="463" spans="1:9" x14ac:dyDescent="0.25">
      <c r="A463" s="4" t="s">
        <v>44</v>
      </c>
      <c r="B463">
        <v>20</v>
      </c>
      <c r="C463" t="s">
        <v>27</v>
      </c>
      <c r="D463" s="8">
        <v>140000</v>
      </c>
      <c r="E463">
        <v>5</v>
      </c>
      <c r="F463" s="7">
        <v>0.23</v>
      </c>
      <c r="G463" s="9">
        <f t="shared" si="21"/>
        <v>29630.374373123472</v>
      </c>
      <c r="H463" s="8">
        <f t="shared" si="22"/>
        <v>8151.8718656173442</v>
      </c>
      <c r="I463" s="8">
        <f t="shared" si="23"/>
        <v>148151.87186561734</v>
      </c>
    </row>
    <row r="464" spans="1:9" x14ac:dyDescent="0.25">
      <c r="A464" s="4" t="s">
        <v>171</v>
      </c>
      <c r="B464">
        <v>20</v>
      </c>
      <c r="C464" t="s">
        <v>21</v>
      </c>
      <c r="D464" s="8">
        <v>180000</v>
      </c>
      <c r="E464">
        <v>5</v>
      </c>
      <c r="F464" s="7">
        <v>0.22</v>
      </c>
      <c r="G464" s="9">
        <f t="shared" si="21"/>
        <v>38003.977412106331</v>
      </c>
      <c r="H464" s="8">
        <f t="shared" si="22"/>
        <v>10019.887060531648</v>
      </c>
      <c r="I464" s="8">
        <f t="shared" si="23"/>
        <v>190019.88706053165</v>
      </c>
    </row>
    <row r="465" spans="1:9" x14ac:dyDescent="0.25">
      <c r="A465" s="4" t="s">
        <v>177</v>
      </c>
      <c r="B465">
        <v>18</v>
      </c>
      <c r="C465" t="s">
        <v>25</v>
      </c>
      <c r="D465" s="8">
        <v>150000</v>
      </c>
      <c r="E465">
        <v>6</v>
      </c>
      <c r="F465" s="7">
        <v>0.21</v>
      </c>
      <c r="G465" s="9">
        <f t="shared" si="21"/>
        <v>26553.38347766842</v>
      </c>
      <c r="H465" s="8">
        <f t="shared" si="22"/>
        <v>9320.3008660105115</v>
      </c>
      <c r="I465" s="8">
        <f t="shared" si="23"/>
        <v>159320.30086601051</v>
      </c>
    </row>
    <row r="466" spans="1:9" x14ac:dyDescent="0.25">
      <c r="A466" s="4" t="s">
        <v>297</v>
      </c>
      <c r="B466">
        <v>30</v>
      </c>
      <c r="C466" t="s">
        <v>31</v>
      </c>
      <c r="D466" s="8">
        <v>110000</v>
      </c>
      <c r="E466">
        <v>8</v>
      </c>
      <c r="F466" s="7">
        <v>0.25</v>
      </c>
      <c r="G466" s="9">
        <f t="shared" si="21"/>
        <v>15070.057701657424</v>
      </c>
      <c r="H466" s="8">
        <f t="shared" si="22"/>
        <v>10560.461613259395</v>
      </c>
      <c r="I466" s="8">
        <f t="shared" si="23"/>
        <v>120560.46161325939</v>
      </c>
    </row>
    <row r="467" spans="1:9" x14ac:dyDescent="0.25">
      <c r="A467" s="4" t="s">
        <v>298</v>
      </c>
      <c r="B467">
        <v>28</v>
      </c>
      <c r="C467" t="s">
        <v>79</v>
      </c>
      <c r="D467" s="8">
        <v>150000</v>
      </c>
      <c r="E467">
        <v>8</v>
      </c>
      <c r="F467" s="7">
        <v>0.25</v>
      </c>
      <c r="G467" s="9">
        <f t="shared" si="21"/>
        <v>20550.078684078304</v>
      </c>
      <c r="H467" s="8">
        <f t="shared" si="22"/>
        <v>14400.629472626431</v>
      </c>
      <c r="I467" s="8">
        <f t="shared" si="23"/>
        <v>164400.62947262643</v>
      </c>
    </row>
    <row r="468" spans="1:9" x14ac:dyDescent="0.25">
      <c r="A468" s="4" t="s">
        <v>46</v>
      </c>
      <c r="B468">
        <v>18</v>
      </c>
      <c r="C468" t="s">
        <v>50</v>
      </c>
      <c r="D468" s="8">
        <v>100000</v>
      </c>
      <c r="E468">
        <v>6</v>
      </c>
      <c r="F468" s="7">
        <v>0.23</v>
      </c>
      <c r="G468" s="9">
        <f t="shared" si="21"/>
        <v>17802.407141728469</v>
      </c>
      <c r="H468" s="8">
        <f t="shared" si="22"/>
        <v>6814.4428503708041</v>
      </c>
      <c r="I468" s="8">
        <f t="shared" si="23"/>
        <v>106814.4428503708</v>
      </c>
    </row>
    <row r="469" spans="1:9" x14ac:dyDescent="0.25">
      <c r="A469" s="4" t="s">
        <v>129</v>
      </c>
      <c r="B469">
        <v>29</v>
      </c>
      <c r="C469" t="s">
        <v>25</v>
      </c>
      <c r="D469" s="8">
        <v>190000</v>
      </c>
      <c r="E469">
        <v>9</v>
      </c>
      <c r="F469" s="7">
        <v>0.25</v>
      </c>
      <c r="G469" s="9">
        <f t="shared" si="21"/>
        <v>23370.607871814413</v>
      </c>
      <c r="H469" s="8">
        <f t="shared" si="22"/>
        <v>20335.470846329699</v>
      </c>
      <c r="I469" s="8">
        <f t="shared" si="23"/>
        <v>210335.4708463297</v>
      </c>
    </row>
    <row r="470" spans="1:9" x14ac:dyDescent="0.25">
      <c r="A470" s="4" t="s">
        <v>299</v>
      </c>
      <c r="B470">
        <v>25</v>
      </c>
      <c r="C470" t="s">
        <v>15</v>
      </c>
      <c r="D470" s="8">
        <v>160000</v>
      </c>
      <c r="E470">
        <v>6</v>
      </c>
      <c r="F470" s="7">
        <v>0.23</v>
      </c>
      <c r="G470" s="9">
        <f t="shared" si="21"/>
        <v>28483.851426765552</v>
      </c>
      <c r="H470" s="8">
        <f t="shared" si="22"/>
        <v>10903.108560593304</v>
      </c>
      <c r="I470" s="8">
        <f t="shared" si="23"/>
        <v>170903.1085605933</v>
      </c>
    </row>
    <row r="471" spans="1:9" x14ac:dyDescent="0.25">
      <c r="A471" s="4" t="s">
        <v>78</v>
      </c>
      <c r="B471">
        <v>22</v>
      </c>
      <c r="C471" t="s">
        <v>36</v>
      </c>
      <c r="D471" s="8">
        <v>190000</v>
      </c>
      <c r="E471">
        <v>8</v>
      </c>
      <c r="F471" s="7">
        <v>0.27</v>
      </c>
      <c r="G471" s="9">
        <f t="shared" si="21"/>
        <v>26217.077432678765</v>
      </c>
      <c r="H471" s="8">
        <f t="shared" si="22"/>
        <v>19736.61946143012</v>
      </c>
      <c r="I471" s="8">
        <f t="shared" si="23"/>
        <v>209736.61946143012</v>
      </c>
    </row>
    <row r="472" spans="1:9" x14ac:dyDescent="0.25">
      <c r="A472" s="4" t="s">
        <v>260</v>
      </c>
      <c r="B472">
        <v>25</v>
      </c>
      <c r="C472" t="s">
        <v>31</v>
      </c>
      <c r="D472" s="8">
        <v>190000</v>
      </c>
      <c r="E472">
        <v>6</v>
      </c>
      <c r="F472" s="7">
        <v>0.23</v>
      </c>
      <c r="G472" s="9">
        <f t="shared" si="21"/>
        <v>33824.57356928409</v>
      </c>
      <c r="H472" s="8">
        <f t="shared" si="22"/>
        <v>12947.441415704554</v>
      </c>
      <c r="I472" s="8">
        <f t="shared" si="23"/>
        <v>202947.44141570455</v>
      </c>
    </row>
    <row r="473" spans="1:9" x14ac:dyDescent="0.25">
      <c r="A473" s="4" t="s">
        <v>300</v>
      </c>
      <c r="B473">
        <v>21</v>
      </c>
      <c r="C473" t="s">
        <v>45</v>
      </c>
      <c r="D473" s="8">
        <v>160000</v>
      </c>
      <c r="E473">
        <v>7</v>
      </c>
      <c r="F473" s="7">
        <v>0.25</v>
      </c>
      <c r="G473" s="9">
        <f t="shared" si="21"/>
        <v>24801.165686663335</v>
      </c>
      <c r="H473" s="8">
        <f t="shared" si="22"/>
        <v>13608.159806643351</v>
      </c>
      <c r="I473" s="8">
        <f t="shared" si="23"/>
        <v>173608.15980664335</v>
      </c>
    </row>
    <row r="474" spans="1:9" x14ac:dyDescent="0.25">
      <c r="A474" s="4" t="s">
        <v>66</v>
      </c>
      <c r="B474">
        <v>30</v>
      </c>
      <c r="C474" t="s">
        <v>33</v>
      </c>
      <c r="D474" s="8">
        <v>130000</v>
      </c>
      <c r="E474">
        <v>7</v>
      </c>
      <c r="F474" s="7">
        <v>0.24</v>
      </c>
      <c r="G474" s="9">
        <f t="shared" si="21"/>
        <v>20086.55429340294</v>
      </c>
      <c r="H474" s="8">
        <f t="shared" si="22"/>
        <v>10605.880053820583</v>
      </c>
      <c r="I474" s="8">
        <f t="shared" si="23"/>
        <v>140605.88005382058</v>
      </c>
    </row>
    <row r="475" spans="1:9" x14ac:dyDescent="0.25">
      <c r="A475" s="4" t="s">
        <v>129</v>
      </c>
      <c r="B475">
        <v>29</v>
      </c>
      <c r="C475" t="s">
        <v>19</v>
      </c>
      <c r="D475" s="8">
        <v>200000</v>
      </c>
      <c r="E475">
        <v>7</v>
      </c>
      <c r="F475" s="7">
        <v>0.24</v>
      </c>
      <c r="G475" s="9">
        <f t="shared" si="21"/>
        <v>30902.391220619906</v>
      </c>
      <c r="H475" s="8">
        <f t="shared" si="22"/>
        <v>16316.738544339343</v>
      </c>
      <c r="I475" s="8">
        <f t="shared" si="23"/>
        <v>216316.73854433934</v>
      </c>
    </row>
    <row r="476" spans="1:9" x14ac:dyDescent="0.25">
      <c r="A476" s="4" t="s">
        <v>186</v>
      </c>
      <c r="B476">
        <v>19</v>
      </c>
      <c r="C476" t="s">
        <v>72</v>
      </c>
      <c r="D476" s="8">
        <v>190000</v>
      </c>
      <c r="E476">
        <v>5</v>
      </c>
      <c r="F476" s="7">
        <v>0.21</v>
      </c>
      <c r="G476" s="9">
        <f t="shared" si="21"/>
        <v>40018.070680194171</v>
      </c>
      <c r="H476" s="8">
        <f t="shared" si="22"/>
        <v>10090.353400970867</v>
      </c>
      <c r="I476" s="8">
        <f t="shared" si="23"/>
        <v>200090.35340097087</v>
      </c>
    </row>
    <row r="477" spans="1:9" x14ac:dyDescent="0.25">
      <c r="A477" s="4" t="s">
        <v>301</v>
      </c>
      <c r="B477">
        <v>29</v>
      </c>
      <c r="C477" t="s">
        <v>45</v>
      </c>
      <c r="D477" s="8">
        <v>190000</v>
      </c>
      <c r="E477">
        <v>8</v>
      </c>
      <c r="F477" s="7">
        <v>0.26</v>
      </c>
      <c r="G477" s="9">
        <f t="shared" si="21"/>
        <v>26123.504946051387</v>
      </c>
      <c r="H477" s="8">
        <f t="shared" si="22"/>
        <v>18988.039568411099</v>
      </c>
      <c r="I477" s="8">
        <f t="shared" si="23"/>
        <v>208988.0395684111</v>
      </c>
    </row>
    <row r="478" spans="1:9" x14ac:dyDescent="0.25">
      <c r="A478" s="4" t="s">
        <v>212</v>
      </c>
      <c r="B478">
        <v>25</v>
      </c>
      <c r="C478" t="s">
        <v>45</v>
      </c>
      <c r="D478" s="8">
        <v>170000</v>
      </c>
      <c r="E478">
        <v>5</v>
      </c>
      <c r="F478" s="7">
        <v>0.22</v>
      </c>
      <c r="G478" s="9">
        <f t="shared" si="21"/>
        <v>35892.645333655979</v>
      </c>
      <c r="H478" s="8">
        <f t="shared" si="22"/>
        <v>9463.2266682799091</v>
      </c>
      <c r="I478" s="8">
        <f t="shared" si="23"/>
        <v>179463.22666827991</v>
      </c>
    </row>
    <row r="479" spans="1:9" x14ac:dyDescent="0.25">
      <c r="A479" s="4" t="s">
        <v>274</v>
      </c>
      <c r="B479">
        <v>24</v>
      </c>
      <c r="C479" t="s">
        <v>27</v>
      </c>
      <c r="D479" s="8">
        <v>170000</v>
      </c>
      <c r="E479">
        <v>6</v>
      </c>
      <c r="F479" s="7">
        <v>0.21</v>
      </c>
      <c r="G479" s="9">
        <f t="shared" si="21"/>
        <v>30093.834608024212</v>
      </c>
      <c r="H479" s="8">
        <f t="shared" si="22"/>
        <v>10563.007648145256</v>
      </c>
      <c r="I479" s="8">
        <f t="shared" si="23"/>
        <v>180563.00764814526</v>
      </c>
    </row>
    <row r="480" spans="1:9" x14ac:dyDescent="0.25">
      <c r="A480" s="4" t="s">
        <v>58</v>
      </c>
      <c r="B480">
        <v>24</v>
      </c>
      <c r="C480" t="s">
        <v>15</v>
      </c>
      <c r="D480" s="8">
        <v>110000</v>
      </c>
      <c r="E480">
        <v>7</v>
      </c>
      <c r="F480" s="7">
        <v>0.25</v>
      </c>
      <c r="G480" s="9">
        <f t="shared" si="21"/>
        <v>17050.801409581043</v>
      </c>
      <c r="H480" s="8">
        <f t="shared" si="22"/>
        <v>9355.6098670673091</v>
      </c>
      <c r="I480" s="8">
        <f t="shared" si="23"/>
        <v>119355.60986706731</v>
      </c>
    </row>
    <row r="481" spans="1:9" x14ac:dyDescent="0.25">
      <c r="A481" s="4" t="s">
        <v>98</v>
      </c>
      <c r="B481">
        <v>21</v>
      </c>
      <c r="C481" t="s">
        <v>45</v>
      </c>
      <c r="D481" s="8">
        <v>140000</v>
      </c>
      <c r="E481">
        <v>8</v>
      </c>
      <c r="F481" s="7">
        <v>0.28000000000000003</v>
      </c>
      <c r="G481" s="9">
        <f t="shared" si="21"/>
        <v>19386.917704088122</v>
      </c>
      <c r="H481" s="8">
        <f t="shared" si="22"/>
        <v>15095.341632704978</v>
      </c>
      <c r="I481" s="8">
        <f t="shared" si="23"/>
        <v>155095.34163270498</v>
      </c>
    </row>
    <row r="482" spans="1:9" x14ac:dyDescent="0.25">
      <c r="A482" s="4" t="s">
        <v>253</v>
      </c>
      <c r="B482">
        <v>27</v>
      </c>
      <c r="C482" t="s">
        <v>25</v>
      </c>
      <c r="D482" s="8">
        <v>100000</v>
      </c>
      <c r="E482">
        <v>6</v>
      </c>
      <c r="F482" s="7">
        <v>0.22</v>
      </c>
      <c r="G482" s="9">
        <f t="shared" si="21"/>
        <v>17752.298585285258</v>
      </c>
      <c r="H482" s="8">
        <f t="shared" si="22"/>
        <v>6513.7915117115481</v>
      </c>
      <c r="I482" s="8">
        <f t="shared" si="23"/>
        <v>106513.79151171155</v>
      </c>
    </row>
    <row r="483" spans="1:9" x14ac:dyDescent="0.25">
      <c r="A483" s="4" t="s">
        <v>302</v>
      </c>
      <c r="B483">
        <v>27</v>
      </c>
      <c r="C483" t="s">
        <v>19</v>
      </c>
      <c r="D483" s="8">
        <v>130000</v>
      </c>
      <c r="E483">
        <v>8</v>
      </c>
      <c r="F483" s="7">
        <v>0.28000000000000003</v>
      </c>
      <c r="G483" s="9">
        <f t="shared" si="21"/>
        <v>18002.137868081827</v>
      </c>
      <c r="H483" s="8">
        <f t="shared" si="22"/>
        <v>14017.102944654616</v>
      </c>
      <c r="I483" s="8">
        <f t="shared" si="23"/>
        <v>144017.10294465462</v>
      </c>
    </row>
    <row r="484" spans="1:9" x14ac:dyDescent="0.25">
      <c r="A484" s="4" t="s">
        <v>303</v>
      </c>
      <c r="B484">
        <v>26</v>
      </c>
      <c r="C484" t="s">
        <v>15</v>
      </c>
      <c r="D484" s="8">
        <v>160000</v>
      </c>
      <c r="E484">
        <v>7</v>
      </c>
      <c r="F484" s="7">
        <v>0.25</v>
      </c>
      <c r="G484" s="9">
        <f t="shared" si="21"/>
        <v>24801.165686663335</v>
      </c>
      <c r="H484" s="8">
        <f t="shared" si="22"/>
        <v>13608.159806643351</v>
      </c>
      <c r="I484" s="8">
        <f t="shared" si="23"/>
        <v>173608.15980664335</v>
      </c>
    </row>
    <row r="485" spans="1:9" x14ac:dyDescent="0.25">
      <c r="A485" s="4" t="s">
        <v>304</v>
      </c>
      <c r="B485">
        <v>24</v>
      </c>
      <c r="C485" t="s">
        <v>72</v>
      </c>
      <c r="D485" s="8">
        <v>110000</v>
      </c>
      <c r="E485">
        <v>8</v>
      </c>
      <c r="F485" s="7">
        <v>0.25</v>
      </c>
      <c r="G485" s="9">
        <f t="shared" si="21"/>
        <v>15070.057701657424</v>
      </c>
      <c r="H485" s="8">
        <f t="shared" si="22"/>
        <v>10560.461613259395</v>
      </c>
      <c r="I485" s="8">
        <f t="shared" si="23"/>
        <v>120560.46161325939</v>
      </c>
    </row>
    <row r="486" spans="1:9" x14ac:dyDescent="0.25">
      <c r="A486" s="4" t="s">
        <v>305</v>
      </c>
      <c r="B486">
        <v>25</v>
      </c>
      <c r="C486" t="s">
        <v>21</v>
      </c>
      <c r="D486" s="8">
        <v>100000</v>
      </c>
      <c r="E486">
        <v>8</v>
      </c>
      <c r="F486" s="7">
        <v>0.26</v>
      </c>
      <c r="G486" s="9">
        <f t="shared" si="21"/>
        <v>13749.213129500729</v>
      </c>
      <c r="H486" s="8">
        <f t="shared" si="22"/>
        <v>9993.7050360058347</v>
      </c>
      <c r="I486" s="8">
        <f t="shared" si="23"/>
        <v>109993.70503600583</v>
      </c>
    </row>
    <row r="487" spans="1:9" x14ac:dyDescent="0.25">
      <c r="A487" s="4" t="s">
        <v>221</v>
      </c>
      <c r="B487">
        <v>20</v>
      </c>
      <c r="C487" t="s">
        <v>17</v>
      </c>
      <c r="D487" s="8">
        <v>140000</v>
      </c>
      <c r="E487">
        <v>6</v>
      </c>
      <c r="F487" s="7">
        <v>0.23</v>
      </c>
      <c r="G487" s="9">
        <f t="shared" si="21"/>
        <v>24923.369998419857</v>
      </c>
      <c r="H487" s="8">
        <f t="shared" si="22"/>
        <v>9540.2199905191374</v>
      </c>
      <c r="I487" s="8">
        <f t="shared" si="23"/>
        <v>149540.21999051914</v>
      </c>
    </row>
    <row r="488" spans="1:9" x14ac:dyDescent="0.25">
      <c r="A488" s="4" t="s">
        <v>305</v>
      </c>
      <c r="B488">
        <v>30</v>
      </c>
      <c r="C488" t="s">
        <v>62</v>
      </c>
      <c r="D488" s="8">
        <v>100000</v>
      </c>
      <c r="E488">
        <v>5</v>
      </c>
      <c r="F488" s="7">
        <v>0.22</v>
      </c>
      <c r="G488" s="9">
        <f t="shared" si="21"/>
        <v>21113.320784503518</v>
      </c>
      <c r="H488" s="8">
        <f t="shared" si="22"/>
        <v>5566.6039225175919</v>
      </c>
      <c r="I488" s="8">
        <f t="shared" si="23"/>
        <v>105566.60392251759</v>
      </c>
    </row>
    <row r="489" spans="1:9" x14ac:dyDescent="0.25">
      <c r="A489" s="4" t="s">
        <v>110</v>
      </c>
      <c r="B489">
        <v>22</v>
      </c>
      <c r="C489" t="s">
        <v>17</v>
      </c>
      <c r="D489" s="8">
        <v>110000</v>
      </c>
      <c r="E489">
        <v>5</v>
      </c>
      <c r="F489" s="7">
        <v>0.21</v>
      </c>
      <c r="G489" s="9">
        <f t="shared" si="21"/>
        <v>23168.356709586096</v>
      </c>
      <c r="H489" s="8">
        <f t="shared" si="22"/>
        <v>5841.7835479304777</v>
      </c>
      <c r="I489" s="8">
        <f t="shared" si="23"/>
        <v>115841.78354793048</v>
      </c>
    </row>
    <row r="490" spans="1:9" x14ac:dyDescent="0.25">
      <c r="A490" s="4" t="s">
        <v>183</v>
      </c>
      <c r="B490">
        <v>21</v>
      </c>
      <c r="C490" t="s">
        <v>21</v>
      </c>
      <c r="D490" s="8">
        <v>190000</v>
      </c>
      <c r="E490">
        <v>8</v>
      </c>
      <c r="F490" s="7">
        <v>0.27</v>
      </c>
      <c r="G490" s="9">
        <f t="shared" si="21"/>
        <v>26217.077432678765</v>
      </c>
      <c r="H490" s="8">
        <f t="shared" si="22"/>
        <v>19736.61946143012</v>
      </c>
      <c r="I490" s="8">
        <f t="shared" si="23"/>
        <v>209736.61946143012</v>
      </c>
    </row>
    <row r="491" spans="1:9" x14ac:dyDescent="0.25">
      <c r="A491" s="4" t="s">
        <v>269</v>
      </c>
      <c r="B491">
        <v>19</v>
      </c>
      <c r="C491" t="s">
        <v>31</v>
      </c>
      <c r="D491" s="8">
        <v>150000</v>
      </c>
      <c r="E491">
        <v>8</v>
      </c>
      <c r="F491" s="7">
        <v>0.27</v>
      </c>
      <c r="G491" s="9">
        <f t="shared" si="21"/>
        <v>20697.692710009553</v>
      </c>
      <c r="H491" s="8">
        <f t="shared" si="22"/>
        <v>15581.541680076421</v>
      </c>
      <c r="I491" s="8">
        <f t="shared" si="23"/>
        <v>165581.54168007642</v>
      </c>
    </row>
    <row r="492" spans="1:9" x14ac:dyDescent="0.25">
      <c r="A492" s="4" t="s">
        <v>295</v>
      </c>
      <c r="B492">
        <v>30</v>
      </c>
      <c r="C492" t="s">
        <v>62</v>
      </c>
      <c r="D492" s="8">
        <v>110000</v>
      </c>
      <c r="E492">
        <v>5</v>
      </c>
      <c r="F492" s="7">
        <v>0.21</v>
      </c>
      <c r="G492" s="9">
        <f t="shared" si="21"/>
        <v>23168.356709586096</v>
      </c>
      <c r="H492" s="8">
        <f t="shared" si="22"/>
        <v>5841.7835479304777</v>
      </c>
      <c r="I492" s="8">
        <f t="shared" si="23"/>
        <v>115841.78354793048</v>
      </c>
    </row>
    <row r="493" spans="1:9" x14ac:dyDescent="0.25">
      <c r="A493" s="4" t="s">
        <v>87</v>
      </c>
      <c r="B493">
        <v>21</v>
      </c>
      <c r="C493" t="s">
        <v>62</v>
      </c>
      <c r="D493" s="8">
        <v>180000</v>
      </c>
      <c r="E493">
        <v>5</v>
      </c>
      <c r="F493" s="7">
        <v>0.23</v>
      </c>
      <c r="G493" s="9">
        <f t="shared" si="21"/>
        <v>38096.195622587322</v>
      </c>
      <c r="H493" s="8">
        <f t="shared" si="22"/>
        <v>10480.978112936602</v>
      </c>
      <c r="I493" s="8">
        <f t="shared" si="23"/>
        <v>190480.9781129366</v>
      </c>
    </row>
    <row r="494" spans="1:9" x14ac:dyDescent="0.25">
      <c r="A494" s="4" t="s">
        <v>121</v>
      </c>
      <c r="B494">
        <v>20</v>
      </c>
      <c r="C494" t="s">
        <v>27</v>
      </c>
      <c r="D494" s="8">
        <v>200000</v>
      </c>
      <c r="E494">
        <v>6</v>
      </c>
      <c r="F494" s="7">
        <v>0.22</v>
      </c>
      <c r="G494" s="9">
        <f t="shared" si="21"/>
        <v>35504.597170570516</v>
      </c>
      <c r="H494" s="8">
        <f t="shared" si="22"/>
        <v>13027.583023423096</v>
      </c>
      <c r="I494" s="8">
        <f t="shared" si="23"/>
        <v>213027.5830234231</v>
      </c>
    </row>
    <row r="495" spans="1:9" x14ac:dyDescent="0.25">
      <c r="A495" s="4" t="s">
        <v>306</v>
      </c>
      <c r="B495">
        <v>22</v>
      </c>
      <c r="C495" t="s">
        <v>21</v>
      </c>
      <c r="D495" s="8">
        <v>180000</v>
      </c>
      <c r="E495">
        <v>7</v>
      </c>
      <c r="F495" s="7">
        <v>0.24</v>
      </c>
      <c r="G495" s="9">
        <f t="shared" si="21"/>
        <v>27812.152098557915</v>
      </c>
      <c r="H495" s="8">
        <f t="shared" si="22"/>
        <v>14685.064689905412</v>
      </c>
      <c r="I495" s="8">
        <f t="shared" si="23"/>
        <v>194685.06468990541</v>
      </c>
    </row>
    <row r="496" spans="1:9" x14ac:dyDescent="0.25">
      <c r="A496" s="4" t="s">
        <v>196</v>
      </c>
      <c r="B496">
        <v>25</v>
      </c>
      <c r="C496" t="s">
        <v>36</v>
      </c>
      <c r="D496" s="8">
        <v>100000</v>
      </c>
      <c r="E496">
        <v>8</v>
      </c>
      <c r="F496" s="7">
        <v>0.27</v>
      </c>
      <c r="G496" s="9">
        <f t="shared" si="21"/>
        <v>13798.461806673033</v>
      </c>
      <c r="H496" s="8">
        <f t="shared" si="22"/>
        <v>10387.694453384262</v>
      </c>
      <c r="I496" s="8">
        <f t="shared" si="23"/>
        <v>110387.69445338426</v>
      </c>
    </row>
    <row r="497" spans="1:9" x14ac:dyDescent="0.25">
      <c r="A497" s="4" t="s">
        <v>285</v>
      </c>
      <c r="B497">
        <v>18</v>
      </c>
      <c r="C497" t="s">
        <v>19</v>
      </c>
      <c r="D497" s="8">
        <v>120000</v>
      </c>
      <c r="E497">
        <v>6</v>
      </c>
      <c r="F497" s="7">
        <v>0.21</v>
      </c>
      <c r="G497" s="9">
        <f t="shared" si="21"/>
        <v>21242.706782134737</v>
      </c>
      <c r="H497" s="8">
        <f t="shared" si="22"/>
        <v>7456.2406928084238</v>
      </c>
      <c r="I497" s="8">
        <f t="shared" si="23"/>
        <v>127456.24069280842</v>
      </c>
    </row>
    <row r="498" spans="1:9" x14ac:dyDescent="0.25">
      <c r="A498" s="4" t="s">
        <v>271</v>
      </c>
      <c r="B498">
        <v>19</v>
      </c>
      <c r="C498" t="s">
        <v>33</v>
      </c>
      <c r="D498" s="8">
        <v>120000</v>
      </c>
      <c r="E498">
        <v>9</v>
      </c>
      <c r="F498" s="7">
        <v>0.25</v>
      </c>
      <c r="G498" s="9">
        <f t="shared" si="21"/>
        <v>14760.383919040682</v>
      </c>
      <c r="H498" s="8">
        <f t="shared" si="22"/>
        <v>12843.45527136614</v>
      </c>
      <c r="I498" s="8">
        <f t="shared" si="23"/>
        <v>132843.45527136614</v>
      </c>
    </row>
    <row r="499" spans="1:9" x14ac:dyDescent="0.25">
      <c r="A499" s="4" t="s">
        <v>39</v>
      </c>
      <c r="B499">
        <v>28</v>
      </c>
      <c r="C499" t="s">
        <v>36</v>
      </c>
      <c r="D499" s="8">
        <v>180000</v>
      </c>
      <c r="E499">
        <v>5</v>
      </c>
      <c r="F499" s="7">
        <v>0.21</v>
      </c>
      <c r="G499" s="9">
        <f t="shared" si="21"/>
        <v>37911.856433868161</v>
      </c>
      <c r="H499" s="8">
        <f t="shared" si="22"/>
        <v>9559.2821693408187</v>
      </c>
      <c r="I499" s="8">
        <f t="shared" si="23"/>
        <v>189559.28216934082</v>
      </c>
    </row>
    <row r="500" spans="1:9" x14ac:dyDescent="0.25">
      <c r="A500" s="4" t="s">
        <v>148</v>
      </c>
      <c r="B500">
        <v>29</v>
      </c>
      <c r="C500" t="s">
        <v>15</v>
      </c>
      <c r="D500" s="8">
        <v>150000</v>
      </c>
      <c r="E500">
        <v>5</v>
      </c>
      <c r="F500" s="7">
        <v>0.22</v>
      </c>
      <c r="G500" s="9">
        <f t="shared" si="21"/>
        <v>31669.981176755275</v>
      </c>
      <c r="H500" s="8">
        <f t="shared" si="22"/>
        <v>8349.9058837763732</v>
      </c>
      <c r="I500" s="8">
        <f t="shared" si="23"/>
        <v>158349.90588377637</v>
      </c>
    </row>
    <row r="501" spans="1:9" x14ac:dyDescent="0.25">
      <c r="A501" s="4" t="s">
        <v>270</v>
      </c>
      <c r="B501">
        <v>19</v>
      </c>
      <c r="C501" t="s">
        <v>23</v>
      </c>
      <c r="D501" s="8">
        <v>110000</v>
      </c>
      <c r="E501">
        <v>9</v>
      </c>
      <c r="F501" s="7">
        <v>0.26</v>
      </c>
      <c r="G501" s="9">
        <f t="shared" si="21"/>
        <v>13584.115086972699</v>
      </c>
      <c r="H501" s="8">
        <f t="shared" si="22"/>
        <v>12257.03578275429</v>
      </c>
      <c r="I501" s="8">
        <f t="shared" si="23"/>
        <v>122257.03578275429</v>
      </c>
    </row>
    <row r="502" spans="1:9" x14ac:dyDescent="0.25">
      <c r="A502" s="4" t="s">
        <v>222</v>
      </c>
      <c r="B502">
        <v>25</v>
      </c>
      <c r="C502" t="s">
        <v>33</v>
      </c>
      <c r="D502" s="8">
        <v>200000</v>
      </c>
      <c r="E502">
        <v>5</v>
      </c>
      <c r="F502" s="7">
        <v>0.22</v>
      </c>
      <c r="G502" s="9">
        <f t="shared" si="21"/>
        <v>42226.641569007035</v>
      </c>
      <c r="H502" s="8">
        <f t="shared" si="22"/>
        <v>11133.207845035184</v>
      </c>
      <c r="I502" s="8">
        <f t="shared" si="23"/>
        <v>211133.20784503518</v>
      </c>
    </row>
    <row r="503" spans="1:9" x14ac:dyDescent="0.25">
      <c r="A503" s="4" t="s">
        <v>145</v>
      </c>
      <c r="B503">
        <v>19</v>
      </c>
      <c r="C503" t="s">
        <v>62</v>
      </c>
      <c r="D503" s="8">
        <v>160000</v>
      </c>
      <c r="E503">
        <v>9</v>
      </c>
      <c r="F503" s="7">
        <v>0.27</v>
      </c>
      <c r="G503" s="9">
        <f t="shared" si="21"/>
        <v>19837.072625873887</v>
      </c>
      <c r="H503" s="8">
        <f t="shared" si="22"/>
        <v>18533.653632864996</v>
      </c>
      <c r="I503" s="8">
        <f t="shared" si="23"/>
        <v>178533.653632865</v>
      </c>
    </row>
    <row r="504" spans="1:9" x14ac:dyDescent="0.25">
      <c r="A504" s="4" t="s">
        <v>229</v>
      </c>
      <c r="B504">
        <v>29</v>
      </c>
      <c r="C504" t="s">
        <v>21</v>
      </c>
      <c r="D504" s="8">
        <v>110000</v>
      </c>
      <c r="E504">
        <v>7</v>
      </c>
      <c r="F504" s="7">
        <v>0.24</v>
      </c>
      <c r="G504" s="9">
        <f t="shared" si="21"/>
        <v>16996.31517134095</v>
      </c>
      <c r="H504" s="8">
        <f t="shared" si="22"/>
        <v>8974.2061993866519</v>
      </c>
      <c r="I504" s="8">
        <f t="shared" si="23"/>
        <v>118974.20619938665</v>
      </c>
    </row>
    <row r="505" spans="1:9" x14ac:dyDescent="0.25">
      <c r="A505" s="4" t="s">
        <v>183</v>
      </c>
      <c r="B505">
        <v>28</v>
      </c>
      <c r="C505" t="s">
        <v>23</v>
      </c>
      <c r="D505" s="8">
        <v>130000</v>
      </c>
      <c r="E505">
        <v>6</v>
      </c>
      <c r="F505" s="7">
        <v>0.22</v>
      </c>
      <c r="G505" s="9">
        <f t="shared" si="21"/>
        <v>23077.988160870838</v>
      </c>
      <c r="H505" s="8">
        <f t="shared" si="22"/>
        <v>8467.92896522503</v>
      </c>
      <c r="I505" s="8">
        <f t="shared" si="23"/>
        <v>138467.92896522503</v>
      </c>
    </row>
    <row r="506" spans="1:9" x14ac:dyDescent="0.25">
      <c r="A506" s="4" t="s">
        <v>307</v>
      </c>
      <c r="B506">
        <v>18</v>
      </c>
      <c r="C506" t="s">
        <v>15</v>
      </c>
      <c r="D506" s="8">
        <v>120000</v>
      </c>
      <c r="E506">
        <v>5</v>
      </c>
      <c r="F506" s="7">
        <v>0.21</v>
      </c>
      <c r="G506" s="9">
        <f t="shared" si="21"/>
        <v>25274.570955912106</v>
      </c>
      <c r="H506" s="8">
        <f t="shared" si="22"/>
        <v>6372.8547795605264</v>
      </c>
      <c r="I506" s="8">
        <f t="shared" si="23"/>
        <v>126372.85477956053</v>
      </c>
    </row>
    <row r="507" spans="1:9" x14ac:dyDescent="0.25">
      <c r="A507" s="4" t="s">
        <v>178</v>
      </c>
      <c r="B507">
        <v>24</v>
      </c>
      <c r="C507" t="s">
        <v>15</v>
      </c>
      <c r="D507" s="8">
        <v>200000</v>
      </c>
      <c r="E507">
        <v>8</v>
      </c>
      <c r="F507" s="7">
        <v>0.27</v>
      </c>
      <c r="G507" s="9">
        <f t="shared" si="21"/>
        <v>27596.923613346065</v>
      </c>
      <c r="H507" s="8">
        <f t="shared" si="22"/>
        <v>20775.388906768523</v>
      </c>
      <c r="I507" s="8">
        <f t="shared" si="23"/>
        <v>220775.38890676852</v>
      </c>
    </row>
    <row r="508" spans="1:9" x14ac:dyDescent="0.25">
      <c r="A508" s="4" t="s">
        <v>293</v>
      </c>
      <c r="B508">
        <v>21</v>
      </c>
      <c r="C508" t="s">
        <v>79</v>
      </c>
      <c r="D508" s="8">
        <v>110000</v>
      </c>
      <c r="E508">
        <v>9</v>
      </c>
      <c r="F508" s="7">
        <v>0.28000000000000003</v>
      </c>
      <c r="G508" s="9">
        <f t="shared" si="21"/>
        <v>13691.968790950599</v>
      </c>
      <c r="H508" s="8">
        <f t="shared" si="22"/>
        <v>13227.719118555397</v>
      </c>
      <c r="I508" s="8">
        <f t="shared" si="23"/>
        <v>123227.7191185554</v>
      </c>
    </row>
    <row r="509" spans="1:9" x14ac:dyDescent="0.25">
      <c r="A509" s="4" t="s">
        <v>308</v>
      </c>
      <c r="B509">
        <v>19</v>
      </c>
      <c r="C509" t="s">
        <v>27</v>
      </c>
      <c r="D509" s="8">
        <v>130000</v>
      </c>
      <c r="E509">
        <v>8</v>
      </c>
      <c r="F509" s="7">
        <v>0.28000000000000003</v>
      </c>
      <c r="G509" s="9">
        <f t="shared" si="21"/>
        <v>18002.137868081827</v>
      </c>
      <c r="H509" s="8">
        <f t="shared" si="22"/>
        <v>14017.102944654616</v>
      </c>
      <c r="I509" s="8">
        <f t="shared" si="23"/>
        <v>144017.10294465462</v>
      </c>
    </row>
    <row r="510" spans="1:9" x14ac:dyDescent="0.25">
      <c r="A510" s="4" t="s">
        <v>309</v>
      </c>
      <c r="B510">
        <v>26</v>
      </c>
      <c r="C510" t="s">
        <v>31</v>
      </c>
      <c r="D510" s="8">
        <v>140000</v>
      </c>
      <c r="E510">
        <v>6</v>
      </c>
      <c r="F510" s="7">
        <v>0.22</v>
      </c>
      <c r="G510" s="9">
        <f t="shared" si="21"/>
        <v>24853.218019399363</v>
      </c>
      <c r="H510" s="8">
        <f t="shared" si="22"/>
        <v>9119.3081163961906</v>
      </c>
      <c r="I510" s="8">
        <f t="shared" si="23"/>
        <v>149119.30811639619</v>
      </c>
    </row>
    <row r="511" spans="1:9" x14ac:dyDescent="0.25">
      <c r="A511" s="4" t="s">
        <v>310</v>
      </c>
      <c r="B511">
        <v>28</v>
      </c>
      <c r="C511" t="s">
        <v>50</v>
      </c>
      <c r="D511" s="8">
        <v>140000</v>
      </c>
      <c r="E511">
        <v>8</v>
      </c>
      <c r="F511" s="7">
        <v>0.27</v>
      </c>
      <c r="G511" s="9">
        <f t="shared" si="21"/>
        <v>19317.846529342249</v>
      </c>
      <c r="H511" s="8">
        <f t="shared" si="22"/>
        <v>14542.772234737989</v>
      </c>
      <c r="I511" s="8">
        <f t="shared" si="23"/>
        <v>154542.77223473799</v>
      </c>
    </row>
    <row r="512" spans="1:9" x14ac:dyDescent="0.25">
      <c r="A512" s="4" t="s">
        <v>311</v>
      </c>
      <c r="B512">
        <v>25</v>
      </c>
      <c r="C512" t="s">
        <v>19</v>
      </c>
      <c r="D512" s="8">
        <v>200000</v>
      </c>
      <c r="E512">
        <v>6</v>
      </c>
      <c r="F512" s="7">
        <v>0.21</v>
      </c>
      <c r="G512" s="9">
        <f t="shared" si="21"/>
        <v>35404.511303557891</v>
      </c>
      <c r="H512" s="8">
        <f t="shared" si="22"/>
        <v>12427.067821347329</v>
      </c>
      <c r="I512" s="8">
        <f t="shared" si="23"/>
        <v>212427.06782134733</v>
      </c>
    </row>
    <row r="513" spans="1:9" x14ac:dyDescent="0.25">
      <c r="A513" s="4" t="s">
        <v>312</v>
      </c>
      <c r="B513">
        <v>18</v>
      </c>
      <c r="C513" t="s">
        <v>17</v>
      </c>
      <c r="D513" s="8">
        <v>100000</v>
      </c>
      <c r="E513">
        <v>7</v>
      </c>
      <c r="F513" s="7">
        <v>0.25</v>
      </c>
      <c r="G513" s="9">
        <f t="shared" si="21"/>
        <v>15500.728554164585</v>
      </c>
      <c r="H513" s="8">
        <f t="shared" si="22"/>
        <v>8505.0998791520979</v>
      </c>
      <c r="I513" s="8">
        <f t="shared" si="23"/>
        <v>108505.0998791521</v>
      </c>
    </row>
    <row r="514" spans="1:9" x14ac:dyDescent="0.25">
      <c r="A514" s="4" t="s">
        <v>109</v>
      </c>
      <c r="B514">
        <v>28</v>
      </c>
      <c r="C514" t="s">
        <v>31</v>
      </c>
      <c r="D514" s="8">
        <v>190000</v>
      </c>
      <c r="E514">
        <v>7</v>
      </c>
      <c r="F514" s="7">
        <v>0.24</v>
      </c>
      <c r="G514" s="9">
        <f t="shared" si="21"/>
        <v>29357.271659588911</v>
      </c>
      <c r="H514" s="8">
        <f t="shared" si="22"/>
        <v>15500.901617122378</v>
      </c>
      <c r="I514" s="8">
        <f t="shared" si="23"/>
        <v>205500.90161712238</v>
      </c>
    </row>
    <row r="515" spans="1:9" x14ac:dyDescent="0.25">
      <c r="A515" s="4" t="s">
        <v>313</v>
      </c>
      <c r="B515">
        <v>25</v>
      </c>
      <c r="C515" t="s">
        <v>25</v>
      </c>
      <c r="D515" s="8">
        <v>160000</v>
      </c>
      <c r="E515">
        <v>5</v>
      </c>
      <c r="F515" s="7">
        <v>0.21</v>
      </c>
      <c r="G515" s="9">
        <f t="shared" si="21"/>
        <v>33699.427941216141</v>
      </c>
      <c r="H515" s="8">
        <f t="shared" si="22"/>
        <v>8497.1397060807212</v>
      </c>
      <c r="I515" s="8">
        <f t="shared" si="23"/>
        <v>168497.13970608072</v>
      </c>
    </row>
    <row r="516" spans="1:9" x14ac:dyDescent="0.25">
      <c r="A516" s="4" t="s">
        <v>14</v>
      </c>
      <c r="B516">
        <v>18</v>
      </c>
      <c r="C516" t="s">
        <v>72</v>
      </c>
      <c r="D516" s="8">
        <v>190000</v>
      </c>
      <c r="E516">
        <v>5</v>
      </c>
      <c r="F516" s="7">
        <v>0.23</v>
      </c>
      <c r="G516" s="9">
        <f t="shared" si="21"/>
        <v>40212.650934953286</v>
      </c>
      <c r="H516" s="8">
        <f t="shared" si="22"/>
        <v>11063.254674766446</v>
      </c>
      <c r="I516" s="8">
        <f t="shared" si="23"/>
        <v>201063.25467476645</v>
      </c>
    </row>
    <row r="517" spans="1:9" x14ac:dyDescent="0.25">
      <c r="A517" s="4" t="s">
        <v>285</v>
      </c>
      <c r="B517">
        <v>29</v>
      </c>
      <c r="C517" t="s">
        <v>17</v>
      </c>
      <c r="D517" s="8">
        <v>150000</v>
      </c>
      <c r="E517">
        <v>8</v>
      </c>
      <c r="F517" s="7">
        <v>0.26</v>
      </c>
      <c r="G517" s="9">
        <f t="shared" si="21"/>
        <v>20623.819694251095</v>
      </c>
      <c r="H517" s="8">
        <f t="shared" si="22"/>
        <v>14990.557554008759</v>
      </c>
      <c r="I517" s="8">
        <f t="shared" si="23"/>
        <v>164990.55755400876</v>
      </c>
    </row>
    <row r="518" spans="1:9" x14ac:dyDescent="0.25">
      <c r="A518" s="4" t="s">
        <v>246</v>
      </c>
      <c r="B518">
        <v>29</v>
      </c>
      <c r="C518" t="s">
        <v>25</v>
      </c>
      <c r="D518" s="8">
        <v>130000</v>
      </c>
      <c r="E518">
        <v>7</v>
      </c>
      <c r="F518" s="7">
        <v>0.24</v>
      </c>
      <c r="G518" s="9">
        <f t="shared" ref="G518:G555" si="24">PMT(F518/12,E518,-D518)</f>
        <v>20086.55429340294</v>
      </c>
      <c r="H518" s="8">
        <f t="shared" ref="H518:H555" si="25">I518-D518</f>
        <v>10605.880053820583</v>
      </c>
      <c r="I518" s="8">
        <f t="shared" ref="I518:I555" si="26">PRODUCT(G518,E518)</f>
        <v>140605.88005382058</v>
      </c>
    </row>
    <row r="519" spans="1:9" x14ac:dyDescent="0.25">
      <c r="A519" s="4" t="s">
        <v>314</v>
      </c>
      <c r="B519">
        <v>22</v>
      </c>
      <c r="C519" t="s">
        <v>25</v>
      </c>
      <c r="D519" s="8">
        <v>120000</v>
      </c>
      <c r="E519">
        <v>5</v>
      </c>
      <c r="F519" s="7">
        <v>0.22</v>
      </c>
      <c r="G519" s="9">
        <f t="shared" si="24"/>
        <v>25335.984941404222</v>
      </c>
      <c r="H519" s="8">
        <f t="shared" si="25"/>
        <v>6679.9247070211131</v>
      </c>
      <c r="I519" s="8">
        <f t="shared" si="26"/>
        <v>126679.92470702111</v>
      </c>
    </row>
    <row r="520" spans="1:9" x14ac:dyDescent="0.25">
      <c r="A520" s="4" t="s">
        <v>174</v>
      </c>
      <c r="B520">
        <v>29</v>
      </c>
      <c r="C520" t="s">
        <v>25</v>
      </c>
      <c r="D520" s="8">
        <v>150000</v>
      </c>
      <c r="E520">
        <v>7</v>
      </c>
      <c r="F520" s="7">
        <v>0.24</v>
      </c>
      <c r="G520" s="9">
        <f t="shared" si="24"/>
        <v>23176.79341546493</v>
      </c>
      <c r="H520" s="8">
        <f t="shared" si="25"/>
        <v>12237.553908254515</v>
      </c>
      <c r="I520" s="8">
        <f t="shared" si="26"/>
        <v>162237.55390825451</v>
      </c>
    </row>
    <row r="521" spans="1:9" x14ac:dyDescent="0.25">
      <c r="A521" s="4" t="s">
        <v>14</v>
      </c>
      <c r="B521">
        <v>29</v>
      </c>
      <c r="C521" t="s">
        <v>45</v>
      </c>
      <c r="D521" s="8">
        <v>110000</v>
      </c>
      <c r="E521">
        <v>5</v>
      </c>
      <c r="F521" s="7">
        <v>0.23</v>
      </c>
      <c r="G521" s="9">
        <f t="shared" si="24"/>
        <v>23281.008436025586</v>
      </c>
      <c r="H521" s="8">
        <f t="shared" si="25"/>
        <v>6405.0421801279299</v>
      </c>
      <c r="I521" s="8">
        <f t="shared" si="26"/>
        <v>116405.04218012793</v>
      </c>
    </row>
    <row r="522" spans="1:9" x14ac:dyDescent="0.25">
      <c r="A522" s="4" t="s">
        <v>315</v>
      </c>
      <c r="B522">
        <v>30</v>
      </c>
      <c r="C522" t="s">
        <v>36</v>
      </c>
      <c r="D522" s="8">
        <v>190000</v>
      </c>
      <c r="E522">
        <v>7</v>
      </c>
      <c r="F522" s="7">
        <v>0.24</v>
      </c>
      <c r="G522" s="9">
        <f t="shared" si="24"/>
        <v>29357.271659588911</v>
      </c>
      <c r="H522" s="8">
        <f t="shared" si="25"/>
        <v>15500.901617122378</v>
      </c>
      <c r="I522" s="8">
        <f t="shared" si="26"/>
        <v>205500.90161712238</v>
      </c>
    </row>
    <row r="523" spans="1:9" x14ac:dyDescent="0.25">
      <c r="A523" s="4" t="s">
        <v>233</v>
      </c>
      <c r="B523">
        <v>18</v>
      </c>
      <c r="C523" t="s">
        <v>33</v>
      </c>
      <c r="D523" s="8">
        <v>190000</v>
      </c>
      <c r="E523">
        <v>5</v>
      </c>
      <c r="F523" s="7">
        <v>0.21</v>
      </c>
      <c r="G523" s="9">
        <f t="shared" si="24"/>
        <v>40018.070680194171</v>
      </c>
      <c r="H523" s="8">
        <f t="shared" si="25"/>
        <v>10090.353400970867</v>
      </c>
      <c r="I523" s="8">
        <f t="shared" si="26"/>
        <v>200090.35340097087</v>
      </c>
    </row>
    <row r="524" spans="1:9" x14ac:dyDescent="0.25">
      <c r="A524" s="4" t="s">
        <v>316</v>
      </c>
      <c r="B524">
        <v>19</v>
      </c>
      <c r="C524" t="s">
        <v>62</v>
      </c>
      <c r="D524" s="8">
        <v>190000</v>
      </c>
      <c r="E524">
        <v>6</v>
      </c>
      <c r="F524" s="7">
        <v>0.21</v>
      </c>
      <c r="G524" s="9">
        <f t="shared" si="24"/>
        <v>33634.28573838</v>
      </c>
      <c r="H524" s="8">
        <f t="shared" si="25"/>
        <v>11805.714430280001</v>
      </c>
      <c r="I524" s="8">
        <f t="shared" si="26"/>
        <v>201805.71443028</v>
      </c>
    </row>
    <row r="525" spans="1:9" x14ac:dyDescent="0.25">
      <c r="A525" s="4" t="s">
        <v>307</v>
      </c>
      <c r="B525">
        <v>30</v>
      </c>
      <c r="C525" t="s">
        <v>25</v>
      </c>
      <c r="D525" s="8">
        <v>160000</v>
      </c>
      <c r="E525">
        <v>9</v>
      </c>
      <c r="F525" s="7">
        <v>0.26</v>
      </c>
      <c r="G525" s="9">
        <f t="shared" si="24"/>
        <v>19758.71285377847</v>
      </c>
      <c r="H525" s="8">
        <f t="shared" si="25"/>
        <v>17828.415684006235</v>
      </c>
      <c r="I525" s="8">
        <f t="shared" si="26"/>
        <v>177828.41568400624</v>
      </c>
    </row>
    <row r="526" spans="1:9" x14ac:dyDescent="0.25">
      <c r="A526" s="4" t="s">
        <v>317</v>
      </c>
      <c r="B526">
        <v>29</v>
      </c>
      <c r="C526" t="s">
        <v>45</v>
      </c>
      <c r="D526" s="8">
        <v>120000</v>
      </c>
      <c r="E526">
        <v>5</v>
      </c>
      <c r="F526" s="7">
        <v>0.23</v>
      </c>
      <c r="G526" s="9">
        <f t="shared" si="24"/>
        <v>25397.46374839155</v>
      </c>
      <c r="H526" s="8">
        <f t="shared" si="25"/>
        <v>6987.3187419577444</v>
      </c>
      <c r="I526" s="8">
        <f t="shared" si="26"/>
        <v>126987.31874195774</v>
      </c>
    </row>
    <row r="527" spans="1:9" x14ac:dyDescent="0.25">
      <c r="A527" s="4" t="s">
        <v>260</v>
      </c>
      <c r="B527">
        <v>22</v>
      </c>
      <c r="C527" t="s">
        <v>36</v>
      </c>
      <c r="D527" s="8">
        <v>150000</v>
      </c>
      <c r="E527">
        <v>8</v>
      </c>
      <c r="F527" s="7">
        <v>0.25</v>
      </c>
      <c r="G527" s="9">
        <f t="shared" si="24"/>
        <v>20550.078684078304</v>
      </c>
      <c r="H527" s="8">
        <f t="shared" si="25"/>
        <v>14400.629472626431</v>
      </c>
      <c r="I527" s="8">
        <f t="shared" si="26"/>
        <v>164400.62947262643</v>
      </c>
    </row>
    <row r="528" spans="1:9" x14ac:dyDescent="0.25">
      <c r="A528" s="4" t="s">
        <v>239</v>
      </c>
      <c r="B528">
        <v>28</v>
      </c>
      <c r="C528" t="s">
        <v>50</v>
      </c>
      <c r="D528" s="8">
        <v>140000</v>
      </c>
      <c r="E528">
        <v>9</v>
      </c>
      <c r="F528" s="7">
        <v>0.28000000000000003</v>
      </c>
      <c r="G528" s="9">
        <f t="shared" si="24"/>
        <v>17426.142097573491</v>
      </c>
      <c r="H528" s="8">
        <f t="shared" si="25"/>
        <v>16835.278878161422</v>
      </c>
      <c r="I528" s="8">
        <f t="shared" si="26"/>
        <v>156835.27887816142</v>
      </c>
    </row>
    <row r="529" spans="1:9" x14ac:dyDescent="0.25">
      <c r="A529" s="4" t="s">
        <v>229</v>
      </c>
      <c r="B529">
        <v>26</v>
      </c>
      <c r="C529" t="s">
        <v>31</v>
      </c>
      <c r="D529" s="8">
        <v>130000</v>
      </c>
      <c r="E529">
        <v>8</v>
      </c>
      <c r="F529" s="7">
        <v>0.28000000000000003</v>
      </c>
      <c r="G529" s="9">
        <f t="shared" si="24"/>
        <v>18002.137868081827</v>
      </c>
      <c r="H529" s="8">
        <f t="shared" si="25"/>
        <v>14017.102944654616</v>
      </c>
      <c r="I529" s="8">
        <f t="shared" si="26"/>
        <v>144017.10294465462</v>
      </c>
    </row>
    <row r="530" spans="1:9" x14ac:dyDescent="0.25">
      <c r="A530" s="4" t="s">
        <v>220</v>
      </c>
      <c r="B530">
        <v>29</v>
      </c>
      <c r="C530" t="s">
        <v>50</v>
      </c>
      <c r="D530" s="8">
        <v>110000</v>
      </c>
      <c r="E530">
        <v>8</v>
      </c>
      <c r="F530" s="7">
        <v>0.26</v>
      </c>
      <c r="G530" s="9">
        <f t="shared" si="24"/>
        <v>15124.134442450804</v>
      </c>
      <c r="H530" s="8">
        <f t="shared" si="25"/>
        <v>10993.075539606434</v>
      </c>
      <c r="I530" s="8">
        <f t="shared" si="26"/>
        <v>120993.07553960643</v>
      </c>
    </row>
    <row r="531" spans="1:9" x14ac:dyDescent="0.25">
      <c r="A531" s="4" t="s">
        <v>316</v>
      </c>
      <c r="B531">
        <v>22</v>
      </c>
      <c r="C531" t="s">
        <v>19</v>
      </c>
      <c r="D531" s="8">
        <v>100000</v>
      </c>
      <c r="E531">
        <v>6</v>
      </c>
      <c r="F531" s="7">
        <v>0.21</v>
      </c>
      <c r="G531" s="9">
        <f t="shared" si="24"/>
        <v>17702.255651778945</v>
      </c>
      <c r="H531" s="8">
        <f t="shared" si="25"/>
        <v>6213.5339106736646</v>
      </c>
      <c r="I531" s="8">
        <f t="shared" si="26"/>
        <v>106213.53391067366</v>
      </c>
    </row>
    <row r="532" spans="1:9" x14ac:dyDescent="0.25">
      <c r="A532" s="4" t="s">
        <v>186</v>
      </c>
      <c r="B532">
        <v>27</v>
      </c>
      <c r="C532" t="s">
        <v>33</v>
      </c>
      <c r="D532" s="8">
        <v>140000</v>
      </c>
      <c r="E532">
        <v>9</v>
      </c>
      <c r="F532" s="7">
        <v>0.27</v>
      </c>
      <c r="G532" s="9">
        <f t="shared" si="24"/>
        <v>17357.438547639653</v>
      </c>
      <c r="H532" s="8">
        <f t="shared" si="25"/>
        <v>16216.946928756865</v>
      </c>
      <c r="I532" s="8">
        <f t="shared" si="26"/>
        <v>156216.94692875686</v>
      </c>
    </row>
    <row r="533" spans="1:9" x14ac:dyDescent="0.25">
      <c r="A533" s="4" t="s">
        <v>318</v>
      </c>
      <c r="B533">
        <v>20</v>
      </c>
      <c r="C533" t="s">
        <v>79</v>
      </c>
      <c r="D533" s="8">
        <v>120000</v>
      </c>
      <c r="E533">
        <v>5</v>
      </c>
      <c r="F533" s="7">
        <v>0.22</v>
      </c>
      <c r="G533" s="9">
        <f t="shared" si="24"/>
        <v>25335.984941404222</v>
      </c>
      <c r="H533" s="8">
        <f t="shared" si="25"/>
        <v>6679.9247070211131</v>
      </c>
      <c r="I533" s="8">
        <f t="shared" si="26"/>
        <v>126679.92470702111</v>
      </c>
    </row>
    <row r="534" spans="1:9" x14ac:dyDescent="0.25">
      <c r="A534" s="4" t="s">
        <v>149</v>
      </c>
      <c r="B534">
        <v>20</v>
      </c>
      <c r="C534" t="s">
        <v>33</v>
      </c>
      <c r="D534" s="8">
        <v>140000</v>
      </c>
      <c r="E534">
        <v>7</v>
      </c>
      <c r="F534" s="7">
        <v>0.24</v>
      </c>
      <c r="G534" s="9">
        <f t="shared" si="24"/>
        <v>21631.673854433935</v>
      </c>
      <c r="H534" s="8">
        <f t="shared" si="25"/>
        <v>11421.716981037549</v>
      </c>
      <c r="I534" s="8">
        <f t="shared" si="26"/>
        <v>151421.71698103755</v>
      </c>
    </row>
    <row r="535" spans="1:9" x14ac:dyDescent="0.25">
      <c r="A535" s="4" t="s">
        <v>189</v>
      </c>
      <c r="B535">
        <v>19</v>
      </c>
      <c r="C535" t="s">
        <v>36</v>
      </c>
      <c r="D535" s="8">
        <v>170000</v>
      </c>
      <c r="E535">
        <v>9</v>
      </c>
      <c r="F535" s="7">
        <v>0.25</v>
      </c>
      <c r="G535" s="9">
        <f t="shared" si="24"/>
        <v>20910.543885307634</v>
      </c>
      <c r="H535" s="8">
        <f t="shared" si="25"/>
        <v>18194.894967768691</v>
      </c>
      <c r="I535" s="8">
        <f t="shared" si="26"/>
        <v>188194.89496776869</v>
      </c>
    </row>
    <row r="536" spans="1:9" x14ac:dyDescent="0.25">
      <c r="A536" s="4" t="s">
        <v>86</v>
      </c>
      <c r="B536">
        <v>21</v>
      </c>
      <c r="C536" t="s">
        <v>21</v>
      </c>
      <c r="D536" s="8">
        <v>170000</v>
      </c>
      <c r="E536">
        <v>7</v>
      </c>
      <c r="F536" s="7">
        <v>0.25</v>
      </c>
      <c r="G536" s="9">
        <f t="shared" si="24"/>
        <v>26351.238542079795</v>
      </c>
      <c r="H536" s="8">
        <f t="shared" si="25"/>
        <v>14458.669794558547</v>
      </c>
      <c r="I536" s="8">
        <f t="shared" si="26"/>
        <v>184458.66979455855</v>
      </c>
    </row>
    <row r="537" spans="1:9" x14ac:dyDescent="0.25">
      <c r="A537" s="4" t="s">
        <v>319</v>
      </c>
      <c r="B537">
        <v>29</v>
      </c>
      <c r="C537" t="s">
        <v>31</v>
      </c>
      <c r="D537" s="8">
        <v>180000</v>
      </c>
      <c r="E537">
        <v>5</v>
      </c>
      <c r="F537" s="7">
        <v>0.22</v>
      </c>
      <c r="G537" s="9">
        <f t="shared" si="24"/>
        <v>38003.977412106331</v>
      </c>
      <c r="H537" s="8">
        <f t="shared" si="25"/>
        <v>10019.887060531648</v>
      </c>
      <c r="I537" s="8">
        <f t="shared" si="26"/>
        <v>190019.88706053165</v>
      </c>
    </row>
    <row r="538" spans="1:9" x14ac:dyDescent="0.25">
      <c r="A538" s="4" t="s">
        <v>225</v>
      </c>
      <c r="B538">
        <v>23</v>
      </c>
      <c r="C538" t="s">
        <v>31</v>
      </c>
      <c r="D538" s="8">
        <v>200000</v>
      </c>
      <c r="E538">
        <v>8</v>
      </c>
      <c r="F538" s="7">
        <v>0.28000000000000003</v>
      </c>
      <c r="G538" s="9">
        <f t="shared" si="24"/>
        <v>27695.59672012589</v>
      </c>
      <c r="H538" s="8">
        <f t="shared" si="25"/>
        <v>21564.77376100712</v>
      </c>
      <c r="I538" s="8">
        <f t="shared" si="26"/>
        <v>221564.77376100712</v>
      </c>
    </row>
    <row r="539" spans="1:9" x14ac:dyDescent="0.25">
      <c r="A539" s="4" t="s">
        <v>178</v>
      </c>
      <c r="B539">
        <v>22</v>
      </c>
      <c r="C539" t="s">
        <v>72</v>
      </c>
      <c r="D539" s="8">
        <v>130000</v>
      </c>
      <c r="E539">
        <v>9</v>
      </c>
      <c r="F539" s="7">
        <v>0.25</v>
      </c>
      <c r="G539" s="9">
        <f t="shared" si="24"/>
        <v>15990.415912294071</v>
      </c>
      <c r="H539" s="8">
        <f t="shared" si="25"/>
        <v>13913.743210646644</v>
      </c>
      <c r="I539" s="8">
        <f t="shared" si="26"/>
        <v>143913.74321064664</v>
      </c>
    </row>
    <row r="540" spans="1:9" x14ac:dyDescent="0.25">
      <c r="A540" s="4" t="s">
        <v>306</v>
      </c>
      <c r="B540">
        <v>21</v>
      </c>
      <c r="C540" t="s">
        <v>19</v>
      </c>
      <c r="D540" s="8">
        <v>150000</v>
      </c>
      <c r="E540">
        <v>7</v>
      </c>
      <c r="F540" s="7">
        <v>0.23</v>
      </c>
      <c r="G540" s="9">
        <f t="shared" si="24"/>
        <v>23102.609342417276</v>
      </c>
      <c r="H540" s="8">
        <f t="shared" si="25"/>
        <v>11718.265396920935</v>
      </c>
      <c r="I540" s="8">
        <f t="shared" si="26"/>
        <v>161718.26539692094</v>
      </c>
    </row>
    <row r="541" spans="1:9" x14ac:dyDescent="0.25">
      <c r="A541" s="4" t="s">
        <v>162</v>
      </c>
      <c r="B541">
        <v>22</v>
      </c>
      <c r="C541" t="s">
        <v>17</v>
      </c>
      <c r="D541" s="8">
        <v>180000</v>
      </c>
      <c r="E541">
        <v>8</v>
      </c>
      <c r="F541" s="7">
        <v>0.27</v>
      </c>
      <c r="G541" s="9">
        <f t="shared" si="24"/>
        <v>24837.231252011461</v>
      </c>
      <c r="H541" s="8">
        <f t="shared" si="25"/>
        <v>18697.850016091688</v>
      </c>
      <c r="I541" s="8">
        <f t="shared" si="26"/>
        <v>198697.85001609169</v>
      </c>
    </row>
    <row r="542" spans="1:9" x14ac:dyDescent="0.25">
      <c r="A542" s="4" t="s">
        <v>239</v>
      </c>
      <c r="B542">
        <v>24</v>
      </c>
      <c r="C542" t="s">
        <v>79</v>
      </c>
      <c r="D542" s="8">
        <v>150000</v>
      </c>
      <c r="E542">
        <v>5</v>
      </c>
      <c r="F542" s="7">
        <v>0.23</v>
      </c>
      <c r="G542" s="9">
        <f t="shared" si="24"/>
        <v>31746.829685489436</v>
      </c>
      <c r="H542" s="8">
        <f t="shared" si="25"/>
        <v>8734.1484274471877</v>
      </c>
      <c r="I542" s="8">
        <f t="shared" si="26"/>
        <v>158734.14842744719</v>
      </c>
    </row>
    <row r="543" spans="1:9" x14ac:dyDescent="0.25">
      <c r="A543" s="4" t="s">
        <v>297</v>
      </c>
      <c r="B543">
        <v>20</v>
      </c>
      <c r="C543" t="s">
        <v>72</v>
      </c>
      <c r="D543" s="8">
        <v>100000</v>
      </c>
      <c r="E543">
        <v>9</v>
      </c>
      <c r="F543" s="7">
        <v>0.27</v>
      </c>
      <c r="G543" s="9">
        <f t="shared" si="24"/>
        <v>12398.170391171179</v>
      </c>
      <c r="H543" s="8">
        <f t="shared" si="25"/>
        <v>11583.533520540615</v>
      </c>
      <c r="I543" s="8">
        <f t="shared" si="26"/>
        <v>111583.53352054062</v>
      </c>
    </row>
    <row r="544" spans="1:9" x14ac:dyDescent="0.25">
      <c r="A544" s="4" t="s">
        <v>171</v>
      </c>
      <c r="B544">
        <v>23</v>
      </c>
      <c r="C544" t="s">
        <v>50</v>
      </c>
      <c r="D544" s="8">
        <v>150000</v>
      </c>
      <c r="E544">
        <v>8</v>
      </c>
      <c r="F544" s="7">
        <v>0.27</v>
      </c>
      <c r="G544" s="9">
        <f t="shared" si="24"/>
        <v>20697.692710009553</v>
      </c>
      <c r="H544" s="8">
        <f t="shared" si="25"/>
        <v>15581.541680076421</v>
      </c>
      <c r="I544" s="8">
        <f t="shared" si="26"/>
        <v>165581.54168007642</v>
      </c>
    </row>
    <row r="545" spans="1:9" x14ac:dyDescent="0.25">
      <c r="A545" s="4" t="s">
        <v>138</v>
      </c>
      <c r="B545">
        <v>27</v>
      </c>
      <c r="C545" t="s">
        <v>50</v>
      </c>
      <c r="D545" s="8">
        <v>190000</v>
      </c>
      <c r="E545">
        <v>8</v>
      </c>
      <c r="F545" s="7">
        <v>0.26</v>
      </c>
      <c r="G545" s="9">
        <f t="shared" si="24"/>
        <v>26123.504946051387</v>
      </c>
      <c r="H545" s="8">
        <f t="shared" si="25"/>
        <v>18988.039568411099</v>
      </c>
      <c r="I545" s="8">
        <f t="shared" si="26"/>
        <v>208988.0395684111</v>
      </c>
    </row>
    <row r="546" spans="1:9" x14ac:dyDescent="0.25">
      <c r="A546" s="4" t="s">
        <v>190</v>
      </c>
      <c r="B546">
        <v>30</v>
      </c>
      <c r="C546" t="s">
        <v>50</v>
      </c>
      <c r="D546" s="8">
        <v>110000</v>
      </c>
      <c r="E546">
        <v>6</v>
      </c>
      <c r="F546" s="7">
        <v>0.23</v>
      </c>
      <c r="G546" s="9">
        <f t="shared" si="24"/>
        <v>19582.647855901316</v>
      </c>
      <c r="H546" s="8">
        <f t="shared" si="25"/>
        <v>7495.8871354078874</v>
      </c>
      <c r="I546" s="8">
        <f t="shared" si="26"/>
        <v>117495.88713540789</v>
      </c>
    </row>
    <row r="547" spans="1:9" x14ac:dyDescent="0.25">
      <c r="A547" s="4" t="s">
        <v>161</v>
      </c>
      <c r="B547">
        <v>21</v>
      </c>
      <c r="C547" t="s">
        <v>31</v>
      </c>
      <c r="D547" s="8">
        <v>170000</v>
      </c>
      <c r="E547">
        <v>5</v>
      </c>
      <c r="F547" s="7">
        <v>0.21</v>
      </c>
      <c r="G547" s="9">
        <f t="shared" si="24"/>
        <v>35805.642187542151</v>
      </c>
      <c r="H547" s="8">
        <f t="shared" si="25"/>
        <v>9028.2109377107699</v>
      </c>
      <c r="I547" s="8">
        <f t="shared" si="26"/>
        <v>179028.21093771077</v>
      </c>
    </row>
    <row r="548" spans="1:9" x14ac:dyDescent="0.25">
      <c r="A548" s="4" t="s">
        <v>61</v>
      </c>
      <c r="B548">
        <v>26</v>
      </c>
      <c r="C548" t="s">
        <v>25</v>
      </c>
      <c r="D548" s="8">
        <v>110000</v>
      </c>
      <c r="E548">
        <v>5</v>
      </c>
      <c r="F548" s="7">
        <v>0.23</v>
      </c>
      <c r="G548" s="9">
        <f t="shared" si="24"/>
        <v>23281.008436025586</v>
      </c>
      <c r="H548" s="8">
        <f t="shared" si="25"/>
        <v>6405.0421801279299</v>
      </c>
      <c r="I548" s="8">
        <f t="shared" si="26"/>
        <v>116405.04218012793</v>
      </c>
    </row>
    <row r="549" spans="1:9" x14ac:dyDescent="0.25">
      <c r="A549" s="4" t="s">
        <v>80</v>
      </c>
      <c r="B549">
        <v>30</v>
      </c>
      <c r="C549" t="s">
        <v>36</v>
      </c>
      <c r="D549" s="8">
        <v>200000</v>
      </c>
      <c r="E549">
        <v>9</v>
      </c>
      <c r="F549" s="7">
        <v>0.25</v>
      </c>
      <c r="G549" s="9">
        <f t="shared" si="24"/>
        <v>24600.639865067802</v>
      </c>
      <c r="H549" s="8">
        <f t="shared" si="25"/>
        <v>21405.758785610204</v>
      </c>
      <c r="I549" s="8">
        <f t="shared" si="26"/>
        <v>221405.7587856102</v>
      </c>
    </row>
    <row r="550" spans="1:9" x14ac:dyDescent="0.25">
      <c r="A550" s="4" t="s">
        <v>254</v>
      </c>
      <c r="B550">
        <v>19</v>
      </c>
      <c r="C550" t="s">
        <v>23</v>
      </c>
      <c r="D550" s="8">
        <v>170000</v>
      </c>
      <c r="E550">
        <v>8</v>
      </c>
      <c r="F550" s="7">
        <v>0.25</v>
      </c>
      <c r="G550" s="9">
        <f t="shared" si="24"/>
        <v>23290.089175288744</v>
      </c>
      <c r="H550" s="8">
        <f t="shared" si="25"/>
        <v>16320.71340230995</v>
      </c>
      <c r="I550" s="8">
        <f t="shared" si="26"/>
        <v>186320.71340230995</v>
      </c>
    </row>
    <row r="551" spans="1:9" x14ac:dyDescent="0.25">
      <c r="A551" s="4" t="s">
        <v>314</v>
      </c>
      <c r="B551">
        <v>23</v>
      </c>
      <c r="C551" t="s">
        <v>23</v>
      </c>
      <c r="D551" s="8">
        <v>160000</v>
      </c>
      <c r="E551">
        <v>5</v>
      </c>
      <c r="F551" s="7">
        <v>0.22</v>
      </c>
      <c r="G551" s="9">
        <f t="shared" si="24"/>
        <v>33781.313255205627</v>
      </c>
      <c r="H551" s="8">
        <f t="shared" si="25"/>
        <v>8906.5662760281411</v>
      </c>
      <c r="I551" s="8">
        <f t="shared" si="26"/>
        <v>168906.56627602814</v>
      </c>
    </row>
    <row r="552" spans="1:9" x14ac:dyDescent="0.25">
      <c r="A552" s="4" t="s">
        <v>99</v>
      </c>
      <c r="B552">
        <v>19</v>
      </c>
      <c r="C552" t="s">
        <v>36</v>
      </c>
      <c r="D552" s="8">
        <v>110000</v>
      </c>
      <c r="E552">
        <v>6</v>
      </c>
      <c r="F552" s="7">
        <v>0.23</v>
      </c>
      <c r="G552" s="9">
        <f t="shared" si="24"/>
        <v>19582.647855901316</v>
      </c>
      <c r="H552" s="8">
        <f t="shared" si="25"/>
        <v>7495.8871354078874</v>
      </c>
      <c r="I552" s="8">
        <f t="shared" si="26"/>
        <v>117495.88713540789</v>
      </c>
    </row>
    <row r="553" spans="1:9" x14ac:dyDescent="0.25">
      <c r="A553" s="4" t="s">
        <v>130</v>
      </c>
      <c r="B553">
        <v>20</v>
      </c>
      <c r="C553" t="s">
        <v>27</v>
      </c>
      <c r="D553" s="8">
        <v>200000</v>
      </c>
      <c r="E553">
        <v>5</v>
      </c>
      <c r="F553" s="7">
        <v>0.21</v>
      </c>
      <c r="G553" s="9">
        <f t="shared" si="24"/>
        <v>42124.284926520173</v>
      </c>
      <c r="H553" s="8">
        <f t="shared" si="25"/>
        <v>10621.424632600858</v>
      </c>
      <c r="I553" s="8">
        <f t="shared" si="26"/>
        <v>210621.42463260086</v>
      </c>
    </row>
    <row r="554" spans="1:9" x14ac:dyDescent="0.25">
      <c r="A554" s="4" t="s">
        <v>320</v>
      </c>
      <c r="B554">
        <v>29</v>
      </c>
      <c r="C554" t="s">
        <v>17</v>
      </c>
      <c r="D554" s="8">
        <v>160000</v>
      </c>
      <c r="E554">
        <v>7</v>
      </c>
      <c r="F554" s="7">
        <v>0.24</v>
      </c>
      <c r="G554" s="9">
        <f t="shared" si="24"/>
        <v>24721.912976495925</v>
      </c>
      <c r="H554" s="8">
        <f t="shared" si="25"/>
        <v>13053.39083547148</v>
      </c>
      <c r="I554" s="8">
        <f t="shared" si="26"/>
        <v>173053.39083547148</v>
      </c>
    </row>
    <row r="555" spans="1:9" x14ac:dyDescent="0.25">
      <c r="A555" s="4" t="s">
        <v>127</v>
      </c>
      <c r="B555">
        <v>26</v>
      </c>
      <c r="C555" t="s">
        <v>62</v>
      </c>
      <c r="D555" s="8">
        <v>150000</v>
      </c>
      <c r="E555">
        <v>7</v>
      </c>
      <c r="F555" s="7">
        <v>0.23</v>
      </c>
      <c r="G555" s="9">
        <f t="shared" si="24"/>
        <v>23102.609342417276</v>
      </c>
      <c r="H555" s="8">
        <f t="shared" si="25"/>
        <v>11718.265396920935</v>
      </c>
      <c r="I555" s="8">
        <f t="shared" si="26"/>
        <v>161718.26539692094</v>
      </c>
    </row>
    <row r="556" spans="1:9" x14ac:dyDescent="0.25">
      <c r="A556" s="4"/>
    </row>
    <row r="557" spans="1:9" x14ac:dyDescent="0.25">
      <c r="A557" s="4" t="s">
        <v>1</v>
      </c>
    </row>
    <row r="558" spans="1:9" x14ac:dyDescent="0.25">
      <c r="A558" s="4" t="s">
        <v>321</v>
      </c>
    </row>
    <row r="559" spans="1:9" x14ac:dyDescent="0.25">
      <c r="A559" s="6" t="s">
        <v>2</v>
      </c>
    </row>
    <row r="560" spans="1:9" x14ac:dyDescent="0.25">
      <c r="A560" s="6" t="s">
        <v>3</v>
      </c>
    </row>
    <row r="561" spans="1:1" x14ac:dyDescent="0.25">
      <c r="A561" s="6" t="s">
        <v>4</v>
      </c>
    </row>
    <row r="562" spans="1:1" x14ac:dyDescent="0.25">
      <c r="A562" s="6" t="s">
        <v>5</v>
      </c>
    </row>
    <row r="563" spans="1:1" x14ac:dyDescent="0.25">
      <c r="A563" s="6" t="s">
        <v>6</v>
      </c>
    </row>
    <row r="564" spans="1:1" x14ac:dyDescent="0.25">
      <c r="A564" s="1"/>
    </row>
    <row r="565" spans="1:1" x14ac:dyDescent="0.25">
      <c r="A565" s="6" t="s">
        <v>7</v>
      </c>
    </row>
    <row r="566" spans="1:1" x14ac:dyDescent="0.25">
      <c r="A566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17D8A-2222-4853-979C-B76B4FE19070}">
  <sheetPr codeName="Sheet3"/>
  <dimension ref="A1:F552"/>
  <sheetViews>
    <sheetView workbookViewId="0">
      <selection activeCell="A3" sqref="A3"/>
    </sheetView>
  </sheetViews>
  <sheetFormatPr defaultRowHeight="15" x14ac:dyDescent="0.25"/>
  <cols>
    <col min="1" max="1" width="53.28515625" bestFit="1" customWidth="1"/>
    <col min="2" max="2" width="11.140625" bestFit="1" customWidth="1"/>
    <col min="3" max="3" width="37" bestFit="1" customWidth="1"/>
    <col min="4" max="6" width="11.140625" bestFit="1" customWidth="1"/>
  </cols>
  <sheetData>
    <row r="1" spans="1:6" x14ac:dyDescent="0.25">
      <c r="A1" t="s">
        <v>416</v>
      </c>
      <c r="B1" t="s">
        <v>417</v>
      </c>
      <c r="C1" t="s">
        <v>418</v>
      </c>
      <c r="D1" t="s">
        <v>419</v>
      </c>
      <c r="E1" t="s">
        <v>420</v>
      </c>
      <c r="F1" t="s">
        <v>421</v>
      </c>
    </row>
    <row r="2" spans="1:6" x14ac:dyDescent="0.25">
      <c r="A2" t="s">
        <v>329</v>
      </c>
    </row>
    <row r="3" spans="1:6" x14ac:dyDescent="0.25">
      <c r="A3" t="s">
        <v>66</v>
      </c>
      <c r="B3">
        <v>25</v>
      </c>
      <c r="C3" t="s">
        <v>21</v>
      </c>
      <c r="D3">
        <v>114471</v>
      </c>
      <c r="E3" t="s">
        <v>422</v>
      </c>
      <c r="F3">
        <v>0.28000000000000003</v>
      </c>
    </row>
    <row r="4" spans="1:6" x14ac:dyDescent="0.25">
      <c r="A4" t="s">
        <v>331</v>
      </c>
      <c r="B4">
        <v>27</v>
      </c>
      <c r="C4" t="s">
        <v>19</v>
      </c>
      <c r="D4">
        <v>178916</v>
      </c>
      <c r="E4" t="s">
        <v>423</v>
      </c>
      <c r="F4">
        <v>0.28000000000000003</v>
      </c>
    </row>
    <row r="5" spans="1:6" x14ac:dyDescent="0.25">
      <c r="A5" t="s">
        <v>18</v>
      </c>
      <c r="B5">
        <v>26</v>
      </c>
      <c r="C5" t="s">
        <v>17</v>
      </c>
      <c r="D5">
        <v>164763</v>
      </c>
      <c r="E5" t="s">
        <v>423</v>
      </c>
      <c r="F5">
        <v>0.28000000000000003</v>
      </c>
    </row>
    <row r="6" spans="1:6" x14ac:dyDescent="0.25">
      <c r="A6" t="s">
        <v>231</v>
      </c>
      <c r="B6">
        <v>26</v>
      </c>
      <c r="C6" t="s">
        <v>21</v>
      </c>
      <c r="D6">
        <v>182827</v>
      </c>
      <c r="E6" t="s">
        <v>424</v>
      </c>
      <c r="F6">
        <v>0.22</v>
      </c>
    </row>
    <row r="7" spans="1:6" x14ac:dyDescent="0.25">
      <c r="A7" t="s">
        <v>334</v>
      </c>
      <c r="B7">
        <v>19</v>
      </c>
      <c r="C7" t="s">
        <v>17</v>
      </c>
      <c r="D7">
        <v>190860</v>
      </c>
      <c r="E7" t="s">
        <v>422</v>
      </c>
      <c r="F7">
        <v>0.28000000000000003</v>
      </c>
    </row>
    <row r="8" spans="1:6" x14ac:dyDescent="0.25">
      <c r="A8" t="s">
        <v>172</v>
      </c>
      <c r="B8">
        <v>23</v>
      </c>
      <c r="C8" t="s">
        <v>79</v>
      </c>
      <c r="D8">
        <v>168125</v>
      </c>
      <c r="E8" t="s">
        <v>424</v>
      </c>
      <c r="F8">
        <v>0.23</v>
      </c>
    </row>
    <row r="9" spans="1:6" x14ac:dyDescent="0.25">
      <c r="A9" t="s">
        <v>109</v>
      </c>
      <c r="B9">
        <v>18</v>
      </c>
      <c r="C9" t="s">
        <v>19</v>
      </c>
      <c r="D9">
        <v>107075</v>
      </c>
      <c r="E9" t="s">
        <v>424</v>
      </c>
      <c r="F9">
        <v>0.23</v>
      </c>
    </row>
    <row r="10" spans="1:6" x14ac:dyDescent="0.25">
      <c r="A10" t="s">
        <v>90</v>
      </c>
      <c r="B10">
        <v>20</v>
      </c>
      <c r="C10" t="s">
        <v>17</v>
      </c>
      <c r="D10">
        <v>154549</v>
      </c>
      <c r="E10" t="s">
        <v>424</v>
      </c>
      <c r="F10">
        <v>0.21</v>
      </c>
    </row>
    <row r="11" spans="1:6" x14ac:dyDescent="0.25">
      <c r="A11" t="s">
        <v>335</v>
      </c>
      <c r="B11">
        <v>20</v>
      </c>
      <c r="C11" t="s">
        <v>36</v>
      </c>
      <c r="D11">
        <v>173431</v>
      </c>
      <c r="E11" t="s">
        <v>425</v>
      </c>
      <c r="F11">
        <v>0.25</v>
      </c>
    </row>
    <row r="12" spans="1:6" x14ac:dyDescent="0.25">
      <c r="A12" t="s">
        <v>91</v>
      </c>
      <c r="B12">
        <v>25</v>
      </c>
      <c r="C12" t="s">
        <v>23</v>
      </c>
      <c r="D12">
        <v>191828</v>
      </c>
      <c r="E12" t="s">
        <v>424</v>
      </c>
      <c r="F12">
        <v>0.23</v>
      </c>
    </row>
    <row r="13" spans="1:6" x14ac:dyDescent="0.25">
      <c r="A13" t="s">
        <v>292</v>
      </c>
      <c r="B13">
        <v>24</v>
      </c>
      <c r="C13" t="s">
        <v>27</v>
      </c>
      <c r="D13">
        <v>186401</v>
      </c>
      <c r="E13" t="s">
        <v>423</v>
      </c>
      <c r="F13">
        <v>0.26</v>
      </c>
    </row>
    <row r="14" spans="1:6" x14ac:dyDescent="0.25">
      <c r="A14" t="s">
        <v>337</v>
      </c>
      <c r="B14">
        <v>18</v>
      </c>
      <c r="C14" t="s">
        <v>23</v>
      </c>
      <c r="D14">
        <v>113166</v>
      </c>
      <c r="E14" t="s">
        <v>425</v>
      </c>
      <c r="F14">
        <v>0.25</v>
      </c>
    </row>
    <row r="15" spans="1:6" x14ac:dyDescent="0.25">
      <c r="A15" t="s">
        <v>150</v>
      </c>
      <c r="B15">
        <v>28</v>
      </c>
      <c r="C15" t="s">
        <v>79</v>
      </c>
      <c r="D15">
        <v>164941</v>
      </c>
      <c r="E15" t="s">
        <v>426</v>
      </c>
      <c r="F15">
        <v>0.22</v>
      </c>
    </row>
    <row r="16" spans="1:6" x14ac:dyDescent="0.25">
      <c r="A16" t="s">
        <v>236</v>
      </c>
      <c r="B16">
        <v>20</v>
      </c>
      <c r="C16" t="s">
        <v>25</v>
      </c>
      <c r="D16">
        <v>137732</v>
      </c>
      <c r="E16" t="s">
        <v>423</v>
      </c>
      <c r="F16">
        <v>0.26</v>
      </c>
    </row>
    <row r="17" spans="1:6" x14ac:dyDescent="0.25">
      <c r="A17" t="s">
        <v>291</v>
      </c>
      <c r="B17">
        <v>28</v>
      </c>
      <c r="C17" t="s">
        <v>36</v>
      </c>
      <c r="D17">
        <v>197309</v>
      </c>
      <c r="E17" t="s">
        <v>424</v>
      </c>
      <c r="F17">
        <v>0.22</v>
      </c>
    </row>
    <row r="18" spans="1:6" x14ac:dyDescent="0.25">
      <c r="A18" t="s">
        <v>182</v>
      </c>
      <c r="B18">
        <v>26</v>
      </c>
      <c r="C18" t="s">
        <v>45</v>
      </c>
      <c r="D18">
        <v>116989</v>
      </c>
      <c r="E18" t="s">
        <v>425</v>
      </c>
      <c r="F18">
        <v>0.24</v>
      </c>
    </row>
    <row r="19" spans="1:6" x14ac:dyDescent="0.25">
      <c r="A19" t="s">
        <v>75</v>
      </c>
      <c r="B19">
        <v>24</v>
      </c>
      <c r="C19" t="s">
        <v>79</v>
      </c>
      <c r="D19">
        <v>121386</v>
      </c>
      <c r="E19" t="s">
        <v>424</v>
      </c>
      <c r="F19">
        <v>0.23</v>
      </c>
    </row>
    <row r="20" spans="1:6" x14ac:dyDescent="0.25">
      <c r="A20" t="s">
        <v>339</v>
      </c>
      <c r="B20">
        <v>27</v>
      </c>
      <c r="C20" t="s">
        <v>72</v>
      </c>
      <c r="D20">
        <v>129965</v>
      </c>
      <c r="E20" t="s">
        <v>426</v>
      </c>
      <c r="F20">
        <v>0.23</v>
      </c>
    </row>
    <row r="21" spans="1:6" x14ac:dyDescent="0.25">
      <c r="A21" t="s">
        <v>256</v>
      </c>
      <c r="B21">
        <v>21</v>
      </c>
      <c r="C21" t="s">
        <v>36</v>
      </c>
      <c r="D21">
        <v>123655</v>
      </c>
      <c r="E21" t="s">
        <v>422</v>
      </c>
      <c r="F21">
        <v>0.25</v>
      </c>
    </row>
    <row r="22" spans="1:6" x14ac:dyDescent="0.25">
      <c r="A22" t="s">
        <v>340</v>
      </c>
      <c r="B22">
        <v>20</v>
      </c>
      <c r="C22" t="s">
        <v>33</v>
      </c>
      <c r="D22">
        <v>171219</v>
      </c>
      <c r="E22" t="s">
        <v>424</v>
      </c>
      <c r="F22">
        <v>0.23</v>
      </c>
    </row>
    <row r="23" spans="1:6" x14ac:dyDescent="0.25">
      <c r="A23" t="s">
        <v>285</v>
      </c>
      <c r="B23">
        <v>23</v>
      </c>
      <c r="C23" t="s">
        <v>25</v>
      </c>
      <c r="D23">
        <v>189312</v>
      </c>
      <c r="E23" t="s">
        <v>426</v>
      </c>
      <c r="F23">
        <v>0.23</v>
      </c>
    </row>
    <row r="24" spans="1:6" x14ac:dyDescent="0.25">
      <c r="A24" t="s">
        <v>341</v>
      </c>
      <c r="B24">
        <v>20</v>
      </c>
      <c r="C24" t="s">
        <v>25</v>
      </c>
      <c r="D24">
        <v>191470</v>
      </c>
      <c r="E24" t="s">
        <v>422</v>
      </c>
      <c r="F24">
        <v>0.27</v>
      </c>
    </row>
    <row r="25" spans="1:6" x14ac:dyDescent="0.25">
      <c r="A25" t="s">
        <v>342</v>
      </c>
      <c r="B25">
        <v>26</v>
      </c>
      <c r="C25" t="s">
        <v>62</v>
      </c>
      <c r="D25">
        <v>132430</v>
      </c>
      <c r="E25" t="s">
        <v>423</v>
      </c>
      <c r="F25">
        <v>0.25</v>
      </c>
    </row>
    <row r="26" spans="1:6" x14ac:dyDescent="0.25">
      <c r="A26" t="s">
        <v>170</v>
      </c>
      <c r="B26">
        <v>19</v>
      </c>
      <c r="C26" t="s">
        <v>19</v>
      </c>
      <c r="D26">
        <v>179985</v>
      </c>
      <c r="E26" t="s">
        <v>422</v>
      </c>
      <c r="F26">
        <v>0.27</v>
      </c>
    </row>
    <row r="27" spans="1:6" x14ac:dyDescent="0.25">
      <c r="A27" t="s">
        <v>300</v>
      </c>
      <c r="B27">
        <v>25</v>
      </c>
      <c r="C27" t="s">
        <v>27</v>
      </c>
      <c r="D27">
        <v>135624</v>
      </c>
      <c r="E27" t="s">
        <v>426</v>
      </c>
      <c r="F27">
        <v>0.23</v>
      </c>
    </row>
    <row r="28" spans="1:6" x14ac:dyDescent="0.25">
      <c r="A28" t="s">
        <v>221</v>
      </c>
      <c r="B28">
        <v>21</v>
      </c>
      <c r="C28" t="s">
        <v>19</v>
      </c>
      <c r="D28">
        <v>107623</v>
      </c>
      <c r="E28" t="s">
        <v>422</v>
      </c>
      <c r="F28">
        <v>0.26</v>
      </c>
    </row>
    <row r="29" spans="1:6" x14ac:dyDescent="0.25">
      <c r="A29" t="s">
        <v>139</v>
      </c>
      <c r="B29">
        <v>22</v>
      </c>
      <c r="C29" t="s">
        <v>79</v>
      </c>
      <c r="D29">
        <v>185952</v>
      </c>
      <c r="E29" t="s">
        <v>425</v>
      </c>
      <c r="F29">
        <v>0.25</v>
      </c>
    </row>
    <row r="30" spans="1:6" x14ac:dyDescent="0.25">
      <c r="A30" t="s">
        <v>87</v>
      </c>
      <c r="B30">
        <v>20</v>
      </c>
      <c r="C30" t="s">
        <v>36</v>
      </c>
      <c r="D30">
        <v>158243</v>
      </c>
      <c r="E30" t="s">
        <v>422</v>
      </c>
      <c r="F30">
        <v>0.28000000000000003</v>
      </c>
    </row>
    <row r="31" spans="1:6" x14ac:dyDescent="0.25">
      <c r="A31" t="s">
        <v>59</v>
      </c>
      <c r="B31">
        <v>24</v>
      </c>
      <c r="C31" t="s">
        <v>50</v>
      </c>
      <c r="D31">
        <v>132644</v>
      </c>
      <c r="E31" t="s">
        <v>424</v>
      </c>
      <c r="F31">
        <v>0.22</v>
      </c>
    </row>
    <row r="32" spans="1:6" x14ac:dyDescent="0.25">
      <c r="A32" t="s">
        <v>78</v>
      </c>
      <c r="B32">
        <v>29</v>
      </c>
      <c r="C32" t="s">
        <v>79</v>
      </c>
      <c r="D32">
        <v>146521</v>
      </c>
      <c r="E32" t="s">
        <v>424</v>
      </c>
      <c r="F32">
        <v>0.21</v>
      </c>
    </row>
    <row r="33" spans="1:6" x14ac:dyDescent="0.25">
      <c r="A33" t="s">
        <v>182</v>
      </c>
      <c r="B33">
        <v>27</v>
      </c>
      <c r="C33" t="s">
        <v>79</v>
      </c>
      <c r="D33">
        <v>164111</v>
      </c>
      <c r="E33" t="s">
        <v>426</v>
      </c>
      <c r="F33">
        <v>0.22</v>
      </c>
    </row>
    <row r="34" spans="1:6" x14ac:dyDescent="0.25">
      <c r="A34" t="s">
        <v>343</v>
      </c>
      <c r="B34">
        <v>18</v>
      </c>
      <c r="C34" t="s">
        <v>25</v>
      </c>
      <c r="D34">
        <v>148819</v>
      </c>
      <c r="E34" t="s">
        <v>425</v>
      </c>
      <c r="F34">
        <v>0.23</v>
      </c>
    </row>
    <row r="35" spans="1:6" x14ac:dyDescent="0.25">
      <c r="A35" t="s">
        <v>69</v>
      </c>
      <c r="B35">
        <v>29</v>
      </c>
      <c r="C35" t="s">
        <v>79</v>
      </c>
      <c r="D35">
        <v>155252</v>
      </c>
      <c r="E35" t="s">
        <v>425</v>
      </c>
      <c r="F35">
        <v>0.25</v>
      </c>
    </row>
    <row r="36" spans="1:6" x14ac:dyDescent="0.25">
      <c r="A36" t="s">
        <v>305</v>
      </c>
      <c r="B36">
        <v>27</v>
      </c>
      <c r="C36" t="s">
        <v>21</v>
      </c>
      <c r="D36">
        <v>168633</v>
      </c>
      <c r="E36" t="s">
        <v>422</v>
      </c>
      <c r="F36">
        <v>0.25</v>
      </c>
    </row>
    <row r="37" spans="1:6" x14ac:dyDescent="0.25">
      <c r="A37" t="s">
        <v>209</v>
      </c>
      <c r="B37">
        <v>20</v>
      </c>
      <c r="C37" t="s">
        <v>36</v>
      </c>
      <c r="D37">
        <v>105072</v>
      </c>
      <c r="E37" t="s">
        <v>426</v>
      </c>
      <c r="F37">
        <v>0.21</v>
      </c>
    </row>
    <row r="38" spans="1:6" x14ac:dyDescent="0.25">
      <c r="A38" t="s">
        <v>163</v>
      </c>
      <c r="B38">
        <v>28</v>
      </c>
      <c r="C38" t="s">
        <v>36</v>
      </c>
      <c r="D38">
        <v>166493</v>
      </c>
      <c r="E38" t="s">
        <v>422</v>
      </c>
      <c r="F38">
        <v>0.27</v>
      </c>
    </row>
    <row r="39" spans="1:6" x14ac:dyDescent="0.25">
      <c r="A39" t="s">
        <v>34</v>
      </c>
      <c r="B39">
        <v>19</v>
      </c>
      <c r="C39" t="s">
        <v>79</v>
      </c>
      <c r="D39">
        <v>192624</v>
      </c>
      <c r="E39" t="s">
        <v>424</v>
      </c>
      <c r="F39">
        <v>0.21</v>
      </c>
    </row>
    <row r="40" spans="1:6" x14ac:dyDescent="0.25">
      <c r="A40" t="s">
        <v>344</v>
      </c>
      <c r="B40">
        <v>19</v>
      </c>
      <c r="C40" t="s">
        <v>45</v>
      </c>
      <c r="D40">
        <v>189794</v>
      </c>
      <c r="E40" t="s">
        <v>422</v>
      </c>
      <c r="F40">
        <v>0.28000000000000003</v>
      </c>
    </row>
    <row r="41" spans="1:6" x14ac:dyDescent="0.25">
      <c r="A41" t="s">
        <v>133</v>
      </c>
      <c r="B41">
        <v>18</v>
      </c>
      <c r="C41" t="s">
        <v>79</v>
      </c>
      <c r="D41">
        <v>143236</v>
      </c>
      <c r="E41" t="s">
        <v>425</v>
      </c>
      <c r="F41">
        <v>0.24</v>
      </c>
    </row>
    <row r="42" spans="1:6" x14ac:dyDescent="0.25">
      <c r="A42" t="s">
        <v>318</v>
      </c>
      <c r="B42">
        <v>28</v>
      </c>
      <c r="C42" t="s">
        <v>50</v>
      </c>
      <c r="D42">
        <v>153809</v>
      </c>
      <c r="E42" t="s">
        <v>422</v>
      </c>
      <c r="F42">
        <v>0.25</v>
      </c>
    </row>
    <row r="43" spans="1:6" x14ac:dyDescent="0.25">
      <c r="A43" t="s">
        <v>345</v>
      </c>
      <c r="B43">
        <v>30</v>
      </c>
      <c r="C43" t="s">
        <v>33</v>
      </c>
      <c r="D43">
        <v>152213</v>
      </c>
      <c r="E43" t="s">
        <v>423</v>
      </c>
      <c r="F43">
        <v>0.27</v>
      </c>
    </row>
    <row r="44" spans="1:6" x14ac:dyDescent="0.25">
      <c r="A44" t="s">
        <v>76</v>
      </c>
      <c r="B44">
        <v>23</v>
      </c>
      <c r="C44" t="s">
        <v>36</v>
      </c>
      <c r="D44">
        <v>193245</v>
      </c>
      <c r="E44" t="s">
        <v>422</v>
      </c>
      <c r="F44">
        <v>0.27</v>
      </c>
    </row>
    <row r="45" spans="1:6" x14ac:dyDescent="0.25">
      <c r="A45" t="s">
        <v>346</v>
      </c>
      <c r="B45">
        <v>29</v>
      </c>
      <c r="C45" t="s">
        <v>72</v>
      </c>
      <c r="D45">
        <v>139741</v>
      </c>
      <c r="E45" t="s">
        <v>423</v>
      </c>
      <c r="F45">
        <v>0.27</v>
      </c>
    </row>
    <row r="46" spans="1:6" x14ac:dyDescent="0.25">
      <c r="A46" t="s">
        <v>347</v>
      </c>
      <c r="B46">
        <v>22</v>
      </c>
      <c r="C46" t="s">
        <v>79</v>
      </c>
      <c r="D46">
        <v>130774</v>
      </c>
      <c r="E46" t="s">
        <v>422</v>
      </c>
      <c r="F46">
        <v>0.27</v>
      </c>
    </row>
    <row r="47" spans="1:6" x14ac:dyDescent="0.25">
      <c r="A47" t="s">
        <v>278</v>
      </c>
      <c r="B47">
        <v>26</v>
      </c>
      <c r="C47" t="s">
        <v>15</v>
      </c>
      <c r="D47">
        <v>185262</v>
      </c>
      <c r="E47" t="s">
        <v>422</v>
      </c>
      <c r="F47">
        <v>0.25</v>
      </c>
    </row>
    <row r="48" spans="1:6" x14ac:dyDescent="0.25">
      <c r="A48" t="s">
        <v>348</v>
      </c>
      <c r="B48">
        <v>21</v>
      </c>
      <c r="C48" t="s">
        <v>45</v>
      </c>
      <c r="D48">
        <v>174262</v>
      </c>
      <c r="E48" t="s">
        <v>423</v>
      </c>
      <c r="F48">
        <v>0.28000000000000003</v>
      </c>
    </row>
    <row r="49" spans="1:6" x14ac:dyDescent="0.25">
      <c r="A49" t="s">
        <v>348</v>
      </c>
      <c r="B49">
        <v>27</v>
      </c>
      <c r="C49" t="s">
        <v>36</v>
      </c>
      <c r="D49">
        <v>133885</v>
      </c>
      <c r="E49" t="s">
        <v>424</v>
      </c>
      <c r="F49">
        <v>0.23</v>
      </c>
    </row>
    <row r="50" spans="1:6" x14ac:dyDescent="0.25">
      <c r="A50" t="s">
        <v>212</v>
      </c>
      <c r="B50">
        <v>24</v>
      </c>
      <c r="C50" t="s">
        <v>23</v>
      </c>
      <c r="D50">
        <v>121482</v>
      </c>
      <c r="E50" t="s">
        <v>422</v>
      </c>
      <c r="F50">
        <v>0.27</v>
      </c>
    </row>
    <row r="51" spans="1:6" x14ac:dyDescent="0.25">
      <c r="A51" t="s">
        <v>212</v>
      </c>
      <c r="B51">
        <v>18</v>
      </c>
      <c r="C51" t="s">
        <v>50</v>
      </c>
      <c r="D51">
        <v>141922</v>
      </c>
      <c r="E51" t="s">
        <v>426</v>
      </c>
      <c r="F51">
        <v>0.21</v>
      </c>
    </row>
    <row r="52" spans="1:6" x14ac:dyDescent="0.25">
      <c r="A52" t="s">
        <v>349</v>
      </c>
      <c r="B52">
        <v>19</v>
      </c>
      <c r="C52" t="s">
        <v>27</v>
      </c>
      <c r="D52">
        <v>116353</v>
      </c>
      <c r="E52" t="s">
        <v>425</v>
      </c>
      <c r="F52">
        <v>0.24</v>
      </c>
    </row>
    <row r="53" spans="1:6" x14ac:dyDescent="0.25">
      <c r="A53" t="s">
        <v>14</v>
      </c>
      <c r="B53">
        <v>18</v>
      </c>
      <c r="C53" t="s">
        <v>45</v>
      </c>
      <c r="D53">
        <v>147004</v>
      </c>
      <c r="E53" t="s">
        <v>426</v>
      </c>
      <c r="F53">
        <v>0.23</v>
      </c>
    </row>
    <row r="54" spans="1:6" x14ac:dyDescent="0.25">
      <c r="A54" t="s">
        <v>337</v>
      </c>
      <c r="B54">
        <v>29</v>
      </c>
      <c r="C54" t="s">
        <v>62</v>
      </c>
      <c r="D54">
        <v>156829</v>
      </c>
      <c r="E54" t="s">
        <v>422</v>
      </c>
      <c r="F54">
        <v>0.27</v>
      </c>
    </row>
    <row r="55" spans="1:6" x14ac:dyDescent="0.25">
      <c r="A55" t="s">
        <v>185</v>
      </c>
      <c r="B55">
        <v>23</v>
      </c>
      <c r="C55" t="s">
        <v>17</v>
      </c>
      <c r="D55">
        <v>123686</v>
      </c>
      <c r="E55" t="s">
        <v>424</v>
      </c>
      <c r="F55">
        <v>0.21</v>
      </c>
    </row>
    <row r="56" spans="1:6" x14ac:dyDescent="0.25">
      <c r="A56" t="s">
        <v>350</v>
      </c>
      <c r="B56">
        <v>23</v>
      </c>
      <c r="C56" t="s">
        <v>31</v>
      </c>
      <c r="D56">
        <v>137095</v>
      </c>
      <c r="E56" t="s">
        <v>424</v>
      </c>
      <c r="F56">
        <v>0.23</v>
      </c>
    </row>
    <row r="57" spans="1:6" x14ac:dyDescent="0.25">
      <c r="A57" t="s">
        <v>107</v>
      </c>
      <c r="B57">
        <v>19</v>
      </c>
      <c r="C57" t="s">
        <v>23</v>
      </c>
      <c r="D57">
        <v>120934</v>
      </c>
      <c r="E57" t="s">
        <v>426</v>
      </c>
      <c r="F57">
        <v>0.22</v>
      </c>
    </row>
    <row r="58" spans="1:6" x14ac:dyDescent="0.25">
      <c r="A58" t="s">
        <v>351</v>
      </c>
      <c r="B58">
        <v>23</v>
      </c>
      <c r="C58" t="s">
        <v>23</v>
      </c>
      <c r="D58">
        <v>120978</v>
      </c>
      <c r="E58" t="s">
        <v>425</v>
      </c>
      <c r="F58">
        <v>0.24</v>
      </c>
    </row>
    <row r="59" spans="1:6" x14ac:dyDescent="0.25">
      <c r="A59" t="s">
        <v>96</v>
      </c>
      <c r="B59">
        <v>27</v>
      </c>
      <c r="C59" t="s">
        <v>27</v>
      </c>
      <c r="D59">
        <v>120964</v>
      </c>
      <c r="E59" t="s">
        <v>422</v>
      </c>
      <c r="F59">
        <v>0.28000000000000003</v>
      </c>
    </row>
    <row r="60" spans="1:6" x14ac:dyDescent="0.25">
      <c r="A60" t="s">
        <v>352</v>
      </c>
      <c r="B60">
        <v>19</v>
      </c>
      <c r="C60" t="s">
        <v>17</v>
      </c>
      <c r="D60">
        <v>167302</v>
      </c>
      <c r="E60" t="s">
        <v>424</v>
      </c>
      <c r="F60">
        <v>0.23</v>
      </c>
    </row>
    <row r="61" spans="1:6" x14ac:dyDescent="0.25">
      <c r="A61" t="s">
        <v>148</v>
      </c>
      <c r="B61">
        <v>19</v>
      </c>
      <c r="C61" t="s">
        <v>79</v>
      </c>
      <c r="D61">
        <v>136518</v>
      </c>
      <c r="E61" t="s">
        <v>426</v>
      </c>
      <c r="F61">
        <v>0.23</v>
      </c>
    </row>
    <row r="62" spans="1:6" x14ac:dyDescent="0.25">
      <c r="A62" t="s">
        <v>145</v>
      </c>
      <c r="B62">
        <v>24</v>
      </c>
      <c r="C62" t="s">
        <v>19</v>
      </c>
      <c r="D62">
        <v>128112</v>
      </c>
      <c r="E62" t="s">
        <v>423</v>
      </c>
      <c r="F62">
        <v>0.27</v>
      </c>
    </row>
    <row r="63" spans="1:6" x14ac:dyDescent="0.25">
      <c r="A63" t="s">
        <v>353</v>
      </c>
      <c r="B63">
        <v>22</v>
      </c>
      <c r="C63" t="s">
        <v>27</v>
      </c>
      <c r="D63">
        <v>116060</v>
      </c>
      <c r="E63" t="s">
        <v>426</v>
      </c>
      <c r="F63">
        <v>0.22</v>
      </c>
    </row>
    <row r="64" spans="1:6" x14ac:dyDescent="0.25">
      <c r="A64" t="s">
        <v>170</v>
      </c>
      <c r="B64">
        <v>18</v>
      </c>
      <c r="C64" t="s">
        <v>62</v>
      </c>
      <c r="D64">
        <v>152745</v>
      </c>
      <c r="E64" t="s">
        <v>426</v>
      </c>
      <c r="F64">
        <v>0.22</v>
      </c>
    </row>
    <row r="65" spans="1:6" x14ac:dyDescent="0.25">
      <c r="A65" t="s">
        <v>354</v>
      </c>
      <c r="B65">
        <v>26</v>
      </c>
      <c r="C65" t="s">
        <v>31</v>
      </c>
      <c r="D65">
        <v>183952</v>
      </c>
      <c r="E65" t="s">
        <v>422</v>
      </c>
      <c r="F65">
        <v>0.27</v>
      </c>
    </row>
    <row r="66" spans="1:6" x14ac:dyDescent="0.25">
      <c r="A66" t="s">
        <v>355</v>
      </c>
      <c r="B66">
        <v>18</v>
      </c>
      <c r="C66" t="s">
        <v>27</v>
      </c>
      <c r="D66">
        <v>100317</v>
      </c>
      <c r="E66" t="s">
        <v>425</v>
      </c>
      <c r="F66">
        <v>0.25</v>
      </c>
    </row>
    <row r="67" spans="1:6" x14ac:dyDescent="0.25">
      <c r="A67" t="s">
        <v>63</v>
      </c>
      <c r="B67">
        <v>20</v>
      </c>
      <c r="C67" t="s">
        <v>31</v>
      </c>
      <c r="D67">
        <v>139864</v>
      </c>
      <c r="E67" t="s">
        <v>422</v>
      </c>
      <c r="F67">
        <v>0.28000000000000003</v>
      </c>
    </row>
    <row r="68" spans="1:6" x14ac:dyDescent="0.25">
      <c r="A68" t="s">
        <v>226</v>
      </c>
      <c r="B68">
        <v>22</v>
      </c>
      <c r="C68" t="s">
        <v>25</v>
      </c>
      <c r="D68">
        <v>108782</v>
      </c>
      <c r="E68" t="s">
        <v>422</v>
      </c>
      <c r="F68">
        <v>0.27</v>
      </c>
    </row>
    <row r="69" spans="1:6" x14ac:dyDescent="0.25">
      <c r="A69" t="s">
        <v>162</v>
      </c>
      <c r="B69">
        <v>26</v>
      </c>
      <c r="C69" t="s">
        <v>31</v>
      </c>
      <c r="D69">
        <v>150618</v>
      </c>
      <c r="E69" t="s">
        <v>422</v>
      </c>
      <c r="F69">
        <v>0.25</v>
      </c>
    </row>
    <row r="70" spans="1:6" x14ac:dyDescent="0.25">
      <c r="A70" t="s">
        <v>71</v>
      </c>
      <c r="B70">
        <v>22</v>
      </c>
      <c r="C70" t="s">
        <v>31</v>
      </c>
      <c r="D70">
        <v>103604</v>
      </c>
      <c r="E70" t="s">
        <v>424</v>
      </c>
      <c r="F70">
        <v>0.22</v>
      </c>
    </row>
    <row r="71" spans="1:6" x14ac:dyDescent="0.25">
      <c r="A71" t="s">
        <v>309</v>
      </c>
      <c r="B71">
        <v>26</v>
      </c>
      <c r="C71" t="s">
        <v>31</v>
      </c>
      <c r="D71">
        <v>145998</v>
      </c>
      <c r="E71" t="s">
        <v>425</v>
      </c>
      <c r="F71">
        <v>0.23</v>
      </c>
    </row>
    <row r="72" spans="1:6" x14ac:dyDescent="0.25">
      <c r="A72" t="s">
        <v>183</v>
      </c>
      <c r="B72">
        <v>26</v>
      </c>
      <c r="C72" t="s">
        <v>19</v>
      </c>
      <c r="D72">
        <v>146728</v>
      </c>
      <c r="E72" t="s">
        <v>426</v>
      </c>
      <c r="F72">
        <v>0.23</v>
      </c>
    </row>
    <row r="73" spans="1:6" x14ac:dyDescent="0.25">
      <c r="A73" t="s">
        <v>149</v>
      </c>
      <c r="B73">
        <v>20</v>
      </c>
      <c r="C73" t="s">
        <v>72</v>
      </c>
      <c r="D73">
        <v>180346</v>
      </c>
      <c r="E73" t="s">
        <v>425</v>
      </c>
      <c r="F73">
        <v>0.24</v>
      </c>
    </row>
    <row r="74" spans="1:6" x14ac:dyDescent="0.25">
      <c r="A74" t="s">
        <v>213</v>
      </c>
      <c r="B74">
        <v>18</v>
      </c>
      <c r="C74" t="s">
        <v>17</v>
      </c>
      <c r="D74">
        <v>188703</v>
      </c>
      <c r="E74" t="s">
        <v>422</v>
      </c>
      <c r="F74">
        <v>0.27</v>
      </c>
    </row>
    <row r="75" spans="1:6" x14ac:dyDescent="0.25">
      <c r="A75" t="s">
        <v>116</v>
      </c>
      <c r="B75">
        <v>24</v>
      </c>
      <c r="C75" t="s">
        <v>23</v>
      </c>
      <c r="D75">
        <v>149482</v>
      </c>
      <c r="E75" t="s">
        <v>425</v>
      </c>
      <c r="F75">
        <v>0.24</v>
      </c>
    </row>
    <row r="76" spans="1:6" x14ac:dyDescent="0.25">
      <c r="A76" t="s">
        <v>51</v>
      </c>
      <c r="B76">
        <v>30</v>
      </c>
      <c r="C76" t="s">
        <v>31</v>
      </c>
      <c r="D76">
        <v>143495</v>
      </c>
      <c r="E76" t="s">
        <v>424</v>
      </c>
      <c r="F76">
        <v>0.23</v>
      </c>
    </row>
    <row r="77" spans="1:6" x14ac:dyDescent="0.25">
      <c r="A77" t="s">
        <v>150</v>
      </c>
      <c r="B77">
        <v>25</v>
      </c>
      <c r="C77" t="s">
        <v>36</v>
      </c>
      <c r="D77">
        <v>175307</v>
      </c>
      <c r="E77" t="s">
        <v>425</v>
      </c>
      <c r="F77">
        <v>0.23</v>
      </c>
    </row>
    <row r="78" spans="1:6" x14ac:dyDescent="0.25">
      <c r="A78" t="s">
        <v>238</v>
      </c>
      <c r="B78">
        <v>21</v>
      </c>
      <c r="C78" t="s">
        <v>23</v>
      </c>
      <c r="D78">
        <v>195630</v>
      </c>
      <c r="E78" t="s">
        <v>425</v>
      </c>
      <c r="F78">
        <v>0.23</v>
      </c>
    </row>
    <row r="79" spans="1:6" x14ac:dyDescent="0.25">
      <c r="A79" t="s">
        <v>353</v>
      </c>
      <c r="B79">
        <v>20</v>
      </c>
      <c r="C79" t="s">
        <v>15</v>
      </c>
      <c r="D79">
        <v>151123</v>
      </c>
      <c r="E79" t="s">
        <v>422</v>
      </c>
      <c r="F79">
        <v>0.28000000000000003</v>
      </c>
    </row>
    <row r="80" spans="1:6" x14ac:dyDescent="0.25">
      <c r="A80" t="s">
        <v>262</v>
      </c>
      <c r="B80">
        <v>23</v>
      </c>
      <c r="C80" t="s">
        <v>31</v>
      </c>
      <c r="D80">
        <v>118749</v>
      </c>
      <c r="E80" t="s">
        <v>426</v>
      </c>
      <c r="F80">
        <v>0.23</v>
      </c>
    </row>
    <row r="81" spans="1:6" x14ac:dyDescent="0.25">
      <c r="A81" t="s">
        <v>227</v>
      </c>
      <c r="B81">
        <v>20</v>
      </c>
      <c r="C81" t="s">
        <v>17</v>
      </c>
      <c r="D81">
        <v>161073</v>
      </c>
      <c r="E81" t="s">
        <v>426</v>
      </c>
      <c r="F81">
        <v>0.22</v>
      </c>
    </row>
    <row r="82" spans="1:6" x14ac:dyDescent="0.25">
      <c r="A82" t="s">
        <v>268</v>
      </c>
      <c r="B82">
        <v>19</v>
      </c>
      <c r="C82" t="s">
        <v>62</v>
      </c>
      <c r="D82">
        <v>157727</v>
      </c>
      <c r="E82" t="s">
        <v>422</v>
      </c>
      <c r="F82">
        <v>0.26</v>
      </c>
    </row>
    <row r="83" spans="1:6" x14ac:dyDescent="0.25">
      <c r="A83" t="s">
        <v>143</v>
      </c>
      <c r="B83">
        <v>28</v>
      </c>
      <c r="C83" t="s">
        <v>25</v>
      </c>
      <c r="D83">
        <v>136763</v>
      </c>
      <c r="E83" t="s">
        <v>422</v>
      </c>
      <c r="F83">
        <v>0.27</v>
      </c>
    </row>
    <row r="84" spans="1:6" x14ac:dyDescent="0.25">
      <c r="A84" t="s">
        <v>116</v>
      </c>
      <c r="B84">
        <v>20</v>
      </c>
      <c r="C84" t="s">
        <v>15</v>
      </c>
      <c r="D84">
        <v>153203</v>
      </c>
      <c r="E84" t="s">
        <v>422</v>
      </c>
      <c r="F84">
        <v>0.26</v>
      </c>
    </row>
    <row r="85" spans="1:6" x14ac:dyDescent="0.25">
      <c r="A85" t="s">
        <v>92</v>
      </c>
      <c r="B85">
        <v>30</v>
      </c>
      <c r="C85" t="s">
        <v>45</v>
      </c>
      <c r="D85">
        <v>161313</v>
      </c>
      <c r="E85" t="s">
        <v>423</v>
      </c>
      <c r="F85">
        <v>0.28000000000000003</v>
      </c>
    </row>
    <row r="86" spans="1:6" x14ac:dyDescent="0.25">
      <c r="A86" t="s">
        <v>222</v>
      </c>
      <c r="B86">
        <v>25</v>
      </c>
      <c r="C86" t="s">
        <v>15</v>
      </c>
      <c r="D86">
        <v>111745</v>
      </c>
      <c r="E86" t="s">
        <v>425</v>
      </c>
      <c r="F86">
        <v>0.25</v>
      </c>
    </row>
    <row r="87" spans="1:6" x14ac:dyDescent="0.25">
      <c r="A87" t="s">
        <v>356</v>
      </c>
      <c r="B87">
        <v>23</v>
      </c>
      <c r="C87" t="s">
        <v>50</v>
      </c>
      <c r="D87">
        <v>177306</v>
      </c>
      <c r="E87" t="s">
        <v>425</v>
      </c>
      <c r="F87">
        <v>0.23</v>
      </c>
    </row>
    <row r="88" spans="1:6" x14ac:dyDescent="0.25">
      <c r="A88" t="s">
        <v>163</v>
      </c>
      <c r="B88">
        <v>29</v>
      </c>
      <c r="C88" t="s">
        <v>15</v>
      </c>
      <c r="D88">
        <v>145656</v>
      </c>
      <c r="E88" t="s">
        <v>425</v>
      </c>
      <c r="F88">
        <v>0.23</v>
      </c>
    </row>
    <row r="89" spans="1:6" x14ac:dyDescent="0.25">
      <c r="A89" t="s">
        <v>71</v>
      </c>
      <c r="B89">
        <v>27</v>
      </c>
      <c r="C89" t="s">
        <v>36</v>
      </c>
      <c r="D89">
        <v>167954</v>
      </c>
      <c r="E89" t="s">
        <v>424</v>
      </c>
      <c r="F89">
        <v>0.22</v>
      </c>
    </row>
    <row r="90" spans="1:6" x14ac:dyDescent="0.25">
      <c r="A90" t="s">
        <v>205</v>
      </c>
      <c r="B90">
        <v>23</v>
      </c>
      <c r="C90" t="s">
        <v>62</v>
      </c>
      <c r="D90">
        <v>173377</v>
      </c>
      <c r="E90" t="s">
        <v>422</v>
      </c>
      <c r="F90">
        <v>0.27</v>
      </c>
    </row>
    <row r="91" spans="1:6" x14ac:dyDescent="0.25">
      <c r="A91" t="s">
        <v>234</v>
      </c>
      <c r="B91">
        <v>30</v>
      </c>
      <c r="C91" t="s">
        <v>19</v>
      </c>
      <c r="D91">
        <v>119266</v>
      </c>
      <c r="E91" t="s">
        <v>426</v>
      </c>
      <c r="F91">
        <v>0.23</v>
      </c>
    </row>
    <row r="92" spans="1:6" x14ac:dyDescent="0.25">
      <c r="A92" t="s">
        <v>148</v>
      </c>
      <c r="B92">
        <v>26</v>
      </c>
      <c r="C92" t="s">
        <v>72</v>
      </c>
      <c r="D92">
        <v>126729</v>
      </c>
      <c r="E92" t="s">
        <v>424</v>
      </c>
      <c r="F92">
        <v>0.21</v>
      </c>
    </row>
    <row r="93" spans="1:6" x14ac:dyDescent="0.25">
      <c r="A93" t="s">
        <v>253</v>
      </c>
      <c r="B93">
        <v>25</v>
      </c>
      <c r="C93" t="s">
        <v>50</v>
      </c>
      <c r="D93">
        <v>140742</v>
      </c>
      <c r="E93" t="s">
        <v>424</v>
      </c>
      <c r="F93">
        <v>0.21</v>
      </c>
    </row>
    <row r="94" spans="1:6" x14ac:dyDescent="0.25">
      <c r="A94" t="s">
        <v>357</v>
      </c>
      <c r="B94">
        <v>24</v>
      </c>
      <c r="C94" t="s">
        <v>79</v>
      </c>
      <c r="D94">
        <v>135498</v>
      </c>
      <c r="E94" t="s">
        <v>424</v>
      </c>
      <c r="F94">
        <v>0.22</v>
      </c>
    </row>
    <row r="95" spans="1:6" x14ac:dyDescent="0.25">
      <c r="A95" t="s">
        <v>135</v>
      </c>
      <c r="B95">
        <v>24</v>
      </c>
      <c r="C95" t="s">
        <v>31</v>
      </c>
      <c r="D95">
        <v>123561</v>
      </c>
      <c r="E95" t="s">
        <v>424</v>
      </c>
      <c r="F95">
        <v>0.22</v>
      </c>
    </row>
    <row r="96" spans="1:6" x14ac:dyDescent="0.25">
      <c r="A96" t="s">
        <v>178</v>
      </c>
      <c r="B96">
        <v>26</v>
      </c>
      <c r="C96" t="s">
        <v>27</v>
      </c>
      <c r="D96">
        <v>105167</v>
      </c>
      <c r="E96" t="s">
        <v>423</v>
      </c>
      <c r="F96">
        <v>0.28000000000000003</v>
      </c>
    </row>
    <row r="97" spans="1:6" x14ac:dyDescent="0.25">
      <c r="A97" t="s">
        <v>229</v>
      </c>
      <c r="B97">
        <v>22</v>
      </c>
      <c r="C97" t="s">
        <v>45</v>
      </c>
      <c r="D97">
        <v>163833</v>
      </c>
      <c r="E97" t="s">
        <v>424</v>
      </c>
      <c r="F97">
        <v>0.22</v>
      </c>
    </row>
    <row r="98" spans="1:6" x14ac:dyDescent="0.25">
      <c r="A98" t="s">
        <v>183</v>
      </c>
      <c r="B98">
        <v>24</v>
      </c>
      <c r="C98" t="s">
        <v>50</v>
      </c>
      <c r="D98">
        <v>185010</v>
      </c>
      <c r="E98" t="s">
        <v>422</v>
      </c>
      <c r="F98">
        <v>0.27</v>
      </c>
    </row>
    <row r="99" spans="1:6" x14ac:dyDescent="0.25">
      <c r="A99" t="s">
        <v>168</v>
      </c>
      <c r="B99">
        <v>18</v>
      </c>
      <c r="C99" t="s">
        <v>50</v>
      </c>
      <c r="D99">
        <v>184431</v>
      </c>
      <c r="E99" t="s">
        <v>422</v>
      </c>
      <c r="F99">
        <v>0.25</v>
      </c>
    </row>
    <row r="100" spans="1:6" x14ac:dyDescent="0.25">
      <c r="A100" t="s">
        <v>358</v>
      </c>
      <c r="B100">
        <v>26</v>
      </c>
      <c r="C100" t="s">
        <v>27</v>
      </c>
      <c r="D100">
        <v>110291</v>
      </c>
      <c r="E100" t="s">
        <v>422</v>
      </c>
      <c r="F100">
        <v>0.27</v>
      </c>
    </row>
    <row r="101" spans="1:6" x14ac:dyDescent="0.25">
      <c r="A101" t="s">
        <v>359</v>
      </c>
      <c r="B101">
        <v>20</v>
      </c>
      <c r="C101" t="s">
        <v>21</v>
      </c>
      <c r="D101">
        <v>130466</v>
      </c>
      <c r="E101" t="s">
        <v>425</v>
      </c>
      <c r="F101">
        <v>0.24</v>
      </c>
    </row>
    <row r="102" spans="1:6" x14ac:dyDescent="0.25">
      <c r="A102" t="s">
        <v>360</v>
      </c>
      <c r="B102">
        <v>23</v>
      </c>
      <c r="C102" t="s">
        <v>21</v>
      </c>
      <c r="D102">
        <v>185946</v>
      </c>
      <c r="E102" t="s">
        <v>423</v>
      </c>
      <c r="F102">
        <v>0.28000000000000003</v>
      </c>
    </row>
    <row r="103" spans="1:6" x14ac:dyDescent="0.25">
      <c r="A103" t="s">
        <v>223</v>
      </c>
      <c r="B103">
        <v>20</v>
      </c>
      <c r="C103" t="s">
        <v>36</v>
      </c>
      <c r="D103">
        <v>189102</v>
      </c>
      <c r="E103" t="s">
        <v>423</v>
      </c>
      <c r="F103">
        <v>0.26</v>
      </c>
    </row>
    <row r="104" spans="1:6" x14ac:dyDescent="0.25">
      <c r="A104" t="s">
        <v>361</v>
      </c>
      <c r="B104">
        <v>22</v>
      </c>
      <c r="C104" t="s">
        <v>21</v>
      </c>
      <c r="D104">
        <v>101769</v>
      </c>
      <c r="E104" t="s">
        <v>425</v>
      </c>
      <c r="F104">
        <v>0.23</v>
      </c>
    </row>
    <row r="105" spans="1:6" x14ac:dyDescent="0.25">
      <c r="A105" t="s">
        <v>193</v>
      </c>
      <c r="B105">
        <v>25</v>
      </c>
      <c r="C105" t="s">
        <v>45</v>
      </c>
      <c r="D105">
        <v>162097</v>
      </c>
      <c r="E105" t="s">
        <v>426</v>
      </c>
      <c r="F105">
        <v>0.21</v>
      </c>
    </row>
    <row r="106" spans="1:6" x14ac:dyDescent="0.25">
      <c r="A106" t="s">
        <v>256</v>
      </c>
      <c r="B106">
        <v>25</v>
      </c>
      <c r="C106" t="s">
        <v>72</v>
      </c>
      <c r="D106">
        <v>147970</v>
      </c>
      <c r="E106" t="s">
        <v>424</v>
      </c>
      <c r="F106">
        <v>0.22</v>
      </c>
    </row>
    <row r="107" spans="1:6" x14ac:dyDescent="0.25">
      <c r="A107" t="s">
        <v>362</v>
      </c>
      <c r="B107">
        <v>25</v>
      </c>
      <c r="C107" t="s">
        <v>62</v>
      </c>
      <c r="D107">
        <v>196222</v>
      </c>
      <c r="E107" t="s">
        <v>422</v>
      </c>
      <c r="F107">
        <v>0.28000000000000003</v>
      </c>
    </row>
    <row r="108" spans="1:6" x14ac:dyDescent="0.25">
      <c r="A108" t="s">
        <v>363</v>
      </c>
      <c r="B108">
        <v>18</v>
      </c>
      <c r="C108" t="s">
        <v>23</v>
      </c>
      <c r="D108">
        <v>111815</v>
      </c>
      <c r="E108" t="s">
        <v>425</v>
      </c>
      <c r="F108">
        <v>0.25</v>
      </c>
    </row>
    <row r="109" spans="1:6" x14ac:dyDescent="0.25">
      <c r="A109" t="s">
        <v>349</v>
      </c>
      <c r="B109">
        <v>24</v>
      </c>
      <c r="C109" t="s">
        <v>72</v>
      </c>
      <c r="D109">
        <v>185284</v>
      </c>
      <c r="E109" t="s">
        <v>423</v>
      </c>
      <c r="F109">
        <v>0.27</v>
      </c>
    </row>
    <row r="110" spans="1:6" x14ac:dyDescent="0.25">
      <c r="A110" t="s">
        <v>297</v>
      </c>
      <c r="B110">
        <v>21</v>
      </c>
      <c r="C110" t="s">
        <v>36</v>
      </c>
      <c r="D110">
        <v>164042</v>
      </c>
      <c r="E110" t="s">
        <v>424</v>
      </c>
      <c r="F110">
        <v>0.23</v>
      </c>
    </row>
    <row r="111" spans="1:6" x14ac:dyDescent="0.25">
      <c r="A111" t="s">
        <v>320</v>
      </c>
      <c r="B111">
        <v>18</v>
      </c>
      <c r="C111" t="s">
        <v>25</v>
      </c>
      <c r="D111">
        <v>111297</v>
      </c>
      <c r="E111" t="s">
        <v>424</v>
      </c>
      <c r="F111">
        <v>0.23</v>
      </c>
    </row>
    <row r="112" spans="1:6" x14ac:dyDescent="0.25">
      <c r="A112" t="s">
        <v>75</v>
      </c>
      <c r="B112">
        <v>19</v>
      </c>
      <c r="C112" t="s">
        <v>72</v>
      </c>
      <c r="D112">
        <v>120775</v>
      </c>
      <c r="E112" t="s">
        <v>422</v>
      </c>
      <c r="F112">
        <v>0.26</v>
      </c>
    </row>
    <row r="113" spans="1:6" x14ac:dyDescent="0.25">
      <c r="A113" t="s">
        <v>251</v>
      </c>
      <c r="B113">
        <v>24</v>
      </c>
      <c r="C113" t="s">
        <v>36</v>
      </c>
      <c r="D113">
        <v>121393</v>
      </c>
      <c r="E113" t="s">
        <v>425</v>
      </c>
      <c r="F113">
        <v>0.25</v>
      </c>
    </row>
    <row r="114" spans="1:6" x14ac:dyDescent="0.25">
      <c r="A114" t="s">
        <v>353</v>
      </c>
      <c r="B114">
        <v>21</v>
      </c>
      <c r="C114" t="s">
        <v>17</v>
      </c>
      <c r="D114">
        <v>102478</v>
      </c>
      <c r="E114" t="s">
        <v>425</v>
      </c>
      <c r="F114">
        <v>0.25</v>
      </c>
    </row>
    <row r="115" spans="1:6" x14ac:dyDescent="0.25">
      <c r="A115" t="s">
        <v>298</v>
      </c>
      <c r="B115">
        <v>18</v>
      </c>
      <c r="C115" t="s">
        <v>33</v>
      </c>
      <c r="D115">
        <v>129296</v>
      </c>
      <c r="E115" t="s">
        <v>422</v>
      </c>
      <c r="F115">
        <v>0.25</v>
      </c>
    </row>
    <row r="116" spans="1:6" x14ac:dyDescent="0.25">
      <c r="A116" t="s">
        <v>187</v>
      </c>
      <c r="B116">
        <v>25</v>
      </c>
      <c r="C116" t="s">
        <v>36</v>
      </c>
      <c r="D116">
        <v>182933</v>
      </c>
      <c r="E116" t="s">
        <v>426</v>
      </c>
      <c r="F116">
        <v>0.23</v>
      </c>
    </row>
    <row r="117" spans="1:6" x14ac:dyDescent="0.25">
      <c r="A117" t="s">
        <v>68</v>
      </c>
      <c r="B117">
        <v>28</v>
      </c>
      <c r="C117" t="s">
        <v>17</v>
      </c>
      <c r="D117">
        <v>106694</v>
      </c>
      <c r="E117" t="s">
        <v>423</v>
      </c>
      <c r="F117">
        <v>0.27</v>
      </c>
    </row>
    <row r="118" spans="1:6" x14ac:dyDescent="0.25">
      <c r="A118" t="s">
        <v>226</v>
      </c>
      <c r="B118">
        <v>23</v>
      </c>
      <c r="C118" t="s">
        <v>27</v>
      </c>
      <c r="D118">
        <v>118112</v>
      </c>
      <c r="E118" t="s">
        <v>425</v>
      </c>
      <c r="F118">
        <v>0.25</v>
      </c>
    </row>
    <row r="119" spans="1:6" x14ac:dyDescent="0.25">
      <c r="A119" t="s">
        <v>364</v>
      </c>
      <c r="B119">
        <v>18</v>
      </c>
      <c r="C119" t="s">
        <v>27</v>
      </c>
      <c r="D119">
        <v>180776</v>
      </c>
      <c r="E119" t="s">
        <v>425</v>
      </c>
      <c r="F119">
        <v>0.25</v>
      </c>
    </row>
    <row r="120" spans="1:6" x14ac:dyDescent="0.25">
      <c r="A120" t="s">
        <v>259</v>
      </c>
      <c r="B120">
        <v>21</v>
      </c>
      <c r="C120" t="s">
        <v>21</v>
      </c>
      <c r="D120">
        <v>140699</v>
      </c>
      <c r="E120" t="s">
        <v>426</v>
      </c>
      <c r="F120">
        <v>0.22</v>
      </c>
    </row>
    <row r="121" spans="1:6" x14ac:dyDescent="0.25">
      <c r="A121" t="s">
        <v>151</v>
      </c>
      <c r="B121">
        <v>21</v>
      </c>
      <c r="C121" t="s">
        <v>62</v>
      </c>
      <c r="D121">
        <v>155576</v>
      </c>
      <c r="E121" t="s">
        <v>424</v>
      </c>
      <c r="F121">
        <v>0.22</v>
      </c>
    </row>
    <row r="122" spans="1:6" x14ac:dyDescent="0.25">
      <c r="A122" t="s">
        <v>181</v>
      </c>
      <c r="B122">
        <v>20</v>
      </c>
      <c r="C122" t="s">
        <v>17</v>
      </c>
      <c r="D122">
        <v>155173</v>
      </c>
      <c r="E122" t="s">
        <v>424</v>
      </c>
      <c r="F122">
        <v>0.22</v>
      </c>
    </row>
    <row r="123" spans="1:6" x14ac:dyDescent="0.25">
      <c r="A123" t="s">
        <v>67</v>
      </c>
      <c r="B123">
        <v>30</v>
      </c>
      <c r="C123" t="s">
        <v>50</v>
      </c>
      <c r="D123">
        <v>195290</v>
      </c>
      <c r="E123" t="s">
        <v>425</v>
      </c>
      <c r="F123">
        <v>0.23</v>
      </c>
    </row>
    <row r="124" spans="1:6" x14ac:dyDescent="0.25">
      <c r="A124" t="s">
        <v>365</v>
      </c>
      <c r="B124">
        <v>18</v>
      </c>
      <c r="C124" t="s">
        <v>25</v>
      </c>
      <c r="D124">
        <v>166197</v>
      </c>
      <c r="E124" t="s">
        <v>422</v>
      </c>
      <c r="F124">
        <v>0.26</v>
      </c>
    </row>
    <row r="125" spans="1:6" x14ac:dyDescent="0.25">
      <c r="A125" t="s">
        <v>16</v>
      </c>
      <c r="B125">
        <v>28</v>
      </c>
      <c r="C125" t="s">
        <v>50</v>
      </c>
      <c r="D125">
        <v>110905</v>
      </c>
      <c r="E125" t="s">
        <v>426</v>
      </c>
      <c r="F125">
        <v>0.23</v>
      </c>
    </row>
    <row r="126" spans="1:6" x14ac:dyDescent="0.25">
      <c r="A126" t="s">
        <v>215</v>
      </c>
      <c r="B126">
        <v>24</v>
      </c>
      <c r="C126" t="s">
        <v>50</v>
      </c>
      <c r="D126">
        <v>199784</v>
      </c>
      <c r="E126" t="s">
        <v>424</v>
      </c>
      <c r="F126">
        <v>0.22</v>
      </c>
    </row>
    <row r="127" spans="1:6" x14ac:dyDescent="0.25">
      <c r="A127" t="s">
        <v>366</v>
      </c>
      <c r="B127">
        <v>30</v>
      </c>
      <c r="C127" t="s">
        <v>23</v>
      </c>
      <c r="D127">
        <v>112692</v>
      </c>
      <c r="E127" t="s">
        <v>426</v>
      </c>
      <c r="F127">
        <v>0.22</v>
      </c>
    </row>
    <row r="128" spans="1:6" x14ac:dyDescent="0.25">
      <c r="A128" t="s">
        <v>14</v>
      </c>
      <c r="B128">
        <v>27</v>
      </c>
      <c r="C128" t="s">
        <v>31</v>
      </c>
      <c r="D128">
        <v>189666</v>
      </c>
      <c r="E128" t="s">
        <v>423</v>
      </c>
      <c r="F128">
        <v>0.27</v>
      </c>
    </row>
    <row r="129" spans="1:6" x14ac:dyDescent="0.25">
      <c r="A129" t="s">
        <v>175</v>
      </c>
      <c r="B129">
        <v>20</v>
      </c>
      <c r="C129" t="s">
        <v>31</v>
      </c>
      <c r="D129">
        <v>188999</v>
      </c>
      <c r="E129" t="s">
        <v>422</v>
      </c>
      <c r="F129">
        <v>0.25</v>
      </c>
    </row>
    <row r="130" spans="1:6" x14ac:dyDescent="0.25">
      <c r="A130" t="s">
        <v>18</v>
      </c>
      <c r="B130">
        <v>26</v>
      </c>
      <c r="C130" t="s">
        <v>36</v>
      </c>
      <c r="D130">
        <v>170018</v>
      </c>
      <c r="E130" t="s">
        <v>424</v>
      </c>
      <c r="F130">
        <v>0.22</v>
      </c>
    </row>
    <row r="131" spans="1:6" x14ac:dyDescent="0.25">
      <c r="A131" t="s">
        <v>52</v>
      </c>
      <c r="B131">
        <v>19</v>
      </c>
      <c r="C131" t="s">
        <v>27</v>
      </c>
      <c r="D131">
        <v>171069</v>
      </c>
      <c r="E131" t="s">
        <v>422</v>
      </c>
      <c r="F131">
        <v>0.26</v>
      </c>
    </row>
    <row r="132" spans="1:6" x14ac:dyDescent="0.25">
      <c r="A132" t="s">
        <v>100</v>
      </c>
      <c r="B132">
        <v>28</v>
      </c>
      <c r="C132" t="s">
        <v>33</v>
      </c>
      <c r="D132">
        <v>174304</v>
      </c>
      <c r="E132" t="s">
        <v>425</v>
      </c>
      <c r="F132">
        <v>0.25</v>
      </c>
    </row>
    <row r="133" spans="1:6" x14ac:dyDescent="0.25">
      <c r="A133" t="s">
        <v>107</v>
      </c>
      <c r="B133">
        <v>20</v>
      </c>
      <c r="C133" t="s">
        <v>27</v>
      </c>
      <c r="D133">
        <v>191132</v>
      </c>
      <c r="E133" t="s">
        <v>426</v>
      </c>
      <c r="F133">
        <v>0.23</v>
      </c>
    </row>
    <row r="134" spans="1:6" x14ac:dyDescent="0.25">
      <c r="A134" t="s">
        <v>181</v>
      </c>
      <c r="B134">
        <v>26</v>
      </c>
      <c r="C134" t="s">
        <v>23</v>
      </c>
      <c r="D134">
        <v>109467</v>
      </c>
      <c r="E134" t="s">
        <v>423</v>
      </c>
      <c r="F134">
        <v>0.25</v>
      </c>
    </row>
    <row r="135" spans="1:6" x14ac:dyDescent="0.25">
      <c r="A135" t="s">
        <v>52</v>
      </c>
      <c r="B135">
        <v>21</v>
      </c>
      <c r="C135" t="s">
        <v>21</v>
      </c>
      <c r="D135">
        <v>144316</v>
      </c>
      <c r="E135" t="s">
        <v>425</v>
      </c>
      <c r="F135">
        <v>0.25</v>
      </c>
    </row>
    <row r="136" spans="1:6" x14ac:dyDescent="0.25">
      <c r="A136" t="s">
        <v>213</v>
      </c>
      <c r="B136">
        <v>18</v>
      </c>
      <c r="C136" t="s">
        <v>72</v>
      </c>
      <c r="D136">
        <v>197436</v>
      </c>
      <c r="E136" t="s">
        <v>422</v>
      </c>
      <c r="F136">
        <v>0.27</v>
      </c>
    </row>
    <row r="137" spans="1:6" x14ac:dyDescent="0.25">
      <c r="A137" t="s">
        <v>108</v>
      </c>
      <c r="B137">
        <v>26</v>
      </c>
      <c r="C137" t="s">
        <v>79</v>
      </c>
      <c r="D137">
        <v>153236</v>
      </c>
      <c r="E137" t="s">
        <v>423</v>
      </c>
      <c r="F137">
        <v>0.28000000000000003</v>
      </c>
    </row>
    <row r="138" spans="1:6" x14ac:dyDescent="0.25">
      <c r="A138" t="s">
        <v>309</v>
      </c>
      <c r="B138">
        <v>25</v>
      </c>
      <c r="C138" t="s">
        <v>21</v>
      </c>
      <c r="D138">
        <v>147114</v>
      </c>
      <c r="E138" t="s">
        <v>425</v>
      </c>
      <c r="F138">
        <v>0.25</v>
      </c>
    </row>
    <row r="139" spans="1:6" x14ac:dyDescent="0.25">
      <c r="A139" t="s">
        <v>366</v>
      </c>
      <c r="B139">
        <v>26</v>
      </c>
      <c r="C139" t="s">
        <v>21</v>
      </c>
      <c r="D139">
        <v>156339</v>
      </c>
      <c r="E139" t="s">
        <v>425</v>
      </c>
      <c r="F139">
        <v>0.23</v>
      </c>
    </row>
    <row r="140" spans="1:6" x14ac:dyDescent="0.25">
      <c r="A140" t="s">
        <v>315</v>
      </c>
      <c r="B140">
        <v>20</v>
      </c>
      <c r="C140" t="s">
        <v>33</v>
      </c>
      <c r="D140">
        <v>178279</v>
      </c>
      <c r="E140" t="s">
        <v>425</v>
      </c>
      <c r="F140">
        <v>0.23</v>
      </c>
    </row>
    <row r="141" spans="1:6" x14ac:dyDescent="0.25">
      <c r="A141" t="s">
        <v>186</v>
      </c>
      <c r="B141">
        <v>18</v>
      </c>
      <c r="C141" t="s">
        <v>15</v>
      </c>
      <c r="D141">
        <v>117328</v>
      </c>
      <c r="E141" t="s">
        <v>423</v>
      </c>
      <c r="F141">
        <v>0.27</v>
      </c>
    </row>
    <row r="142" spans="1:6" x14ac:dyDescent="0.25">
      <c r="A142" t="s">
        <v>367</v>
      </c>
      <c r="B142">
        <v>30</v>
      </c>
      <c r="C142" t="s">
        <v>27</v>
      </c>
      <c r="D142">
        <v>151548</v>
      </c>
      <c r="E142" t="s">
        <v>423</v>
      </c>
      <c r="F142">
        <v>0.27</v>
      </c>
    </row>
    <row r="143" spans="1:6" x14ac:dyDescent="0.25">
      <c r="A143" t="s">
        <v>315</v>
      </c>
      <c r="B143">
        <v>26</v>
      </c>
      <c r="C143" t="s">
        <v>33</v>
      </c>
      <c r="D143">
        <v>117723</v>
      </c>
      <c r="E143" t="s">
        <v>422</v>
      </c>
      <c r="F143">
        <v>0.25</v>
      </c>
    </row>
    <row r="144" spans="1:6" x14ac:dyDescent="0.25">
      <c r="A144" t="s">
        <v>340</v>
      </c>
      <c r="B144">
        <v>28</v>
      </c>
      <c r="C144" t="s">
        <v>19</v>
      </c>
      <c r="D144">
        <v>126637</v>
      </c>
      <c r="E144" t="s">
        <v>424</v>
      </c>
      <c r="F144">
        <v>0.23</v>
      </c>
    </row>
    <row r="145" spans="1:6" x14ac:dyDescent="0.25">
      <c r="A145" t="s">
        <v>105</v>
      </c>
      <c r="B145">
        <v>21</v>
      </c>
      <c r="C145" t="s">
        <v>17</v>
      </c>
      <c r="D145">
        <v>193570</v>
      </c>
      <c r="E145" t="s">
        <v>422</v>
      </c>
      <c r="F145">
        <v>0.25</v>
      </c>
    </row>
    <row r="146" spans="1:6" x14ac:dyDescent="0.25">
      <c r="A146" t="s">
        <v>260</v>
      </c>
      <c r="B146">
        <v>24</v>
      </c>
      <c r="C146" t="s">
        <v>15</v>
      </c>
      <c r="D146">
        <v>173207</v>
      </c>
      <c r="E146" t="s">
        <v>425</v>
      </c>
      <c r="F146">
        <v>0.23</v>
      </c>
    </row>
    <row r="147" spans="1:6" x14ac:dyDescent="0.25">
      <c r="A147" t="s">
        <v>351</v>
      </c>
      <c r="B147">
        <v>24</v>
      </c>
      <c r="C147" t="s">
        <v>21</v>
      </c>
      <c r="D147">
        <v>115719</v>
      </c>
      <c r="E147" t="s">
        <v>425</v>
      </c>
      <c r="F147">
        <v>0.23</v>
      </c>
    </row>
    <row r="148" spans="1:6" x14ac:dyDescent="0.25">
      <c r="A148" t="s">
        <v>206</v>
      </c>
      <c r="B148">
        <v>25</v>
      </c>
      <c r="C148" t="s">
        <v>79</v>
      </c>
      <c r="D148">
        <v>156297</v>
      </c>
      <c r="E148" t="s">
        <v>424</v>
      </c>
      <c r="F148">
        <v>0.21</v>
      </c>
    </row>
    <row r="149" spans="1:6" x14ac:dyDescent="0.25">
      <c r="A149" t="s">
        <v>140</v>
      </c>
      <c r="B149">
        <v>22</v>
      </c>
      <c r="C149" t="s">
        <v>45</v>
      </c>
      <c r="D149">
        <v>116754</v>
      </c>
      <c r="E149" t="s">
        <v>422</v>
      </c>
      <c r="F149">
        <v>0.27</v>
      </c>
    </row>
    <row r="150" spans="1:6" x14ac:dyDescent="0.25">
      <c r="A150" t="s">
        <v>304</v>
      </c>
      <c r="B150">
        <v>21</v>
      </c>
      <c r="C150" t="s">
        <v>17</v>
      </c>
      <c r="D150">
        <v>119790</v>
      </c>
      <c r="E150" t="s">
        <v>426</v>
      </c>
      <c r="F150">
        <v>0.21</v>
      </c>
    </row>
    <row r="151" spans="1:6" x14ac:dyDescent="0.25">
      <c r="A151" t="s">
        <v>28</v>
      </c>
      <c r="B151">
        <v>30</v>
      </c>
      <c r="C151" t="s">
        <v>45</v>
      </c>
      <c r="D151">
        <v>137186</v>
      </c>
      <c r="E151" t="s">
        <v>426</v>
      </c>
      <c r="F151">
        <v>0.23</v>
      </c>
    </row>
    <row r="152" spans="1:6" x14ac:dyDescent="0.25">
      <c r="A152" t="s">
        <v>368</v>
      </c>
      <c r="B152">
        <v>25</v>
      </c>
      <c r="C152" t="s">
        <v>45</v>
      </c>
      <c r="D152">
        <v>145783</v>
      </c>
      <c r="E152" t="s">
        <v>425</v>
      </c>
      <c r="F152">
        <v>0.25</v>
      </c>
    </row>
    <row r="153" spans="1:6" x14ac:dyDescent="0.25">
      <c r="A153" t="s">
        <v>96</v>
      </c>
      <c r="B153">
        <v>24</v>
      </c>
      <c r="C153" t="s">
        <v>72</v>
      </c>
      <c r="D153">
        <v>181992</v>
      </c>
      <c r="E153" t="s">
        <v>422</v>
      </c>
      <c r="F153">
        <v>0.28000000000000003</v>
      </c>
    </row>
    <row r="154" spans="1:6" x14ac:dyDescent="0.25">
      <c r="A154" t="s">
        <v>287</v>
      </c>
      <c r="B154">
        <v>18</v>
      </c>
      <c r="C154" t="s">
        <v>23</v>
      </c>
      <c r="D154">
        <v>109471</v>
      </c>
      <c r="E154" t="s">
        <v>423</v>
      </c>
      <c r="F154">
        <v>0.26</v>
      </c>
    </row>
    <row r="155" spans="1:6" x14ac:dyDescent="0.25">
      <c r="A155" t="s">
        <v>251</v>
      </c>
      <c r="B155">
        <v>25</v>
      </c>
      <c r="C155" t="s">
        <v>17</v>
      </c>
      <c r="D155">
        <v>127156</v>
      </c>
      <c r="E155" t="s">
        <v>424</v>
      </c>
      <c r="F155">
        <v>0.22</v>
      </c>
    </row>
    <row r="156" spans="1:6" x14ac:dyDescent="0.25">
      <c r="A156" t="s">
        <v>226</v>
      </c>
      <c r="B156">
        <v>26</v>
      </c>
      <c r="C156" t="s">
        <v>79</v>
      </c>
      <c r="D156">
        <v>163475</v>
      </c>
      <c r="E156" t="s">
        <v>423</v>
      </c>
      <c r="F156">
        <v>0.27</v>
      </c>
    </row>
    <row r="157" spans="1:6" x14ac:dyDescent="0.25">
      <c r="A157" t="s">
        <v>287</v>
      </c>
      <c r="B157">
        <v>20</v>
      </c>
      <c r="C157" t="s">
        <v>23</v>
      </c>
      <c r="D157">
        <v>149227</v>
      </c>
      <c r="E157" t="s">
        <v>425</v>
      </c>
      <c r="F157">
        <v>0.25</v>
      </c>
    </row>
    <row r="158" spans="1:6" x14ac:dyDescent="0.25">
      <c r="A158" t="s">
        <v>335</v>
      </c>
      <c r="B158">
        <v>29</v>
      </c>
      <c r="C158" t="s">
        <v>36</v>
      </c>
      <c r="D158">
        <v>188971</v>
      </c>
      <c r="E158" t="s">
        <v>426</v>
      </c>
      <c r="F158">
        <v>0.21</v>
      </c>
    </row>
    <row r="159" spans="1:6" x14ac:dyDescent="0.25">
      <c r="A159" t="s">
        <v>90</v>
      </c>
      <c r="B159">
        <v>21</v>
      </c>
      <c r="C159" t="s">
        <v>50</v>
      </c>
      <c r="D159">
        <v>110029</v>
      </c>
      <c r="E159" t="s">
        <v>425</v>
      </c>
      <c r="F159">
        <v>0.24</v>
      </c>
    </row>
    <row r="160" spans="1:6" x14ac:dyDescent="0.25">
      <c r="A160" t="s">
        <v>138</v>
      </c>
      <c r="B160">
        <v>28</v>
      </c>
      <c r="C160" t="s">
        <v>19</v>
      </c>
      <c r="D160">
        <v>187268</v>
      </c>
      <c r="E160" t="s">
        <v>425</v>
      </c>
      <c r="F160">
        <v>0.25</v>
      </c>
    </row>
    <row r="161" spans="1:6" x14ac:dyDescent="0.25">
      <c r="A161" t="s">
        <v>107</v>
      </c>
      <c r="B161">
        <v>26</v>
      </c>
      <c r="C161" t="s">
        <v>31</v>
      </c>
      <c r="D161">
        <v>125447</v>
      </c>
      <c r="E161" t="s">
        <v>424</v>
      </c>
      <c r="F161">
        <v>0.21</v>
      </c>
    </row>
    <row r="162" spans="1:6" x14ac:dyDescent="0.25">
      <c r="A162" t="s">
        <v>260</v>
      </c>
      <c r="B162">
        <v>26</v>
      </c>
      <c r="C162" t="s">
        <v>27</v>
      </c>
      <c r="D162">
        <v>178491</v>
      </c>
      <c r="E162" t="s">
        <v>426</v>
      </c>
      <c r="F162">
        <v>0.23</v>
      </c>
    </row>
    <row r="163" spans="1:6" x14ac:dyDescent="0.25">
      <c r="A163" t="s">
        <v>217</v>
      </c>
      <c r="B163">
        <v>29</v>
      </c>
      <c r="C163" t="s">
        <v>19</v>
      </c>
      <c r="D163">
        <v>123200</v>
      </c>
      <c r="E163" t="s">
        <v>424</v>
      </c>
      <c r="F163">
        <v>0.22</v>
      </c>
    </row>
    <row r="164" spans="1:6" x14ac:dyDescent="0.25">
      <c r="A164" t="s">
        <v>369</v>
      </c>
      <c r="B164">
        <v>21</v>
      </c>
      <c r="C164" t="s">
        <v>79</v>
      </c>
      <c r="D164">
        <v>166957</v>
      </c>
      <c r="E164" t="s">
        <v>425</v>
      </c>
      <c r="F164">
        <v>0.23</v>
      </c>
    </row>
    <row r="165" spans="1:6" x14ac:dyDescent="0.25">
      <c r="A165" t="s">
        <v>207</v>
      </c>
      <c r="B165">
        <v>30</v>
      </c>
      <c r="C165" t="s">
        <v>50</v>
      </c>
      <c r="D165">
        <v>180374</v>
      </c>
      <c r="E165" t="s">
        <v>426</v>
      </c>
      <c r="F165">
        <v>0.22</v>
      </c>
    </row>
    <row r="166" spans="1:6" x14ac:dyDescent="0.25">
      <c r="A166" t="s">
        <v>146</v>
      </c>
      <c r="B166">
        <v>21</v>
      </c>
      <c r="C166" t="s">
        <v>21</v>
      </c>
      <c r="D166">
        <v>125928</v>
      </c>
      <c r="E166" t="s">
        <v>425</v>
      </c>
      <c r="F166">
        <v>0.25</v>
      </c>
    </row>
    <row r="167" spans="1:6" x14ac:dyDescent="0.25">
      <c r="A167" t="s">
        <v>202</v>
      </c>
      <c r="B167">
        <v>20</v>
      </c>
      <c r="C167" t="s">
        <v>45</v>
      </c>
      <c r="D167">
        <v>128035</v>
      </c>
      <c r="E167" t="s">
        <v>426</v>
      </c>
      <c r="F167">
        <v>0.23</v>
      </c>
    </row>
    <row r="168" spans="1:6" x14ac:dyDescent="0.25">
      <c r="A168" t="s">
        <v>89</v>
      </c>
      <c r="B168">
        <v>27</v>
      </c>
      <c r="C168" t="s">
        <v>17</v>
      </c>
      <c r="D168">
        <v>196457</v>
      </c>
      <c r="E168" t="s">
        <v>423</v>
      </c>
      <c r="F168">
        <v>0.26</v>
      </c>
    </row>
    <row r="169" spans="1:6" x14ac:dyDescent="0.25">
      <c r="A169" t="s">
        <v>340</v>
      </c>
      <c r="B169">
        <v>22</v>
      </c>
      <c r="C169" t="s">
        <v>50</v>
      </c>
      <c r="D169">
        <v>175568</v>
      </c>
      <c r="E169" t="s">
        <v>424</v>
      </c>
      <c r="F169">
        <v>0.22</v>
      </c>
    </row>
    <row r="170" spans="1:6" x14ac:dyDescent="0.25">
      <c r="A170" t="s">
        <v>341</v>
      </c>
      <c r="B170">
        <v>25</v>
      </c>
      <c r="C170" t="s">
        <v>62</v>
      </c>
      <c r="D170">
        <v>142563</v>
      </c>
      <c r="E170" t="s">
        <v>424</v>
      </c>
      <c r="F170">
        <v>0.22</v>
      </c>
    </row>
    <row r="171" spans="1:6" x14ac:dyDescent="0.25">
      <c r="A171" t="s">
        <v>165</v>
      </c>
      <c r="B171">
        <v>28</v>
      </c>
      <c r="C171" t="s">
        <v>19</v>
      </c>
      <c r="D171">
        <v>187481</v>
      </c>
      <c r="E171" t="s">
        <v>424</v>
      </c>
      <c r="F171">
        <v>0.21</v>
      </c>
    </row>
    <row r="172" spans="1:6" x14ac:dyDescent="0.25">
      <c r="A172" t="s">
        <v>249</v>
      </c>
      <c r="B172">
        <v>22</v>
      </c>
      <c r="C172" t="s">
        <v>15</v>
      </c>
      <c r="D172">
        <v>188653</v>
      </c>
      <c r="E172" t="s">
        <v>422</v>
      </c>
      <c r="F172">
        <v>0.27</v>
      </c>
    </row>
    <row r="173" spans="1:6" x14ac:dyDescent="0.25">
      <c r="A173" t="s">
        <v>189</v>
      </c>
      <c r="B173">
        <v>30</v>
      </c>
      <c r="C173" t="s">
        <v>23</v>
      </c>
      <c r="D173">
        <v>170500</v>
      </c>
      <c r="E173" t="s">
        <v>425</v>
      </c>
      <c r="F173">
        <v>0.24</v>
      </c>
    </row>
    <row r="174" spans="1:6" x14ac:dyDescent="0.25">
      <c r="A174" t="s">
        <v>318</v>
      </c>
      <c r="B174">
        <v>22</v>
      </c>
      <c r="C174" t="s">
        <v>79</v>
      </c>
      <c r="D174">
        <v>195639</v>
      </c>
      <c r="E174" t="s">
        <v>422</v>
      </c>
      <c r="F174">
        <v>0.27</v>
      </c>
    </row>
    <row r="175" spans="1:6" x14ac:dyDescent="0.25">
      <c r="A175" t="s">
        <v>77</v>
      </c>
      <c r="B175">
        <v>26</v>
      </c>
      <c r="C175" t="s">
        <v>23</v>
      </c>
      <c r="D175">
        <v>115382</v>
      </c>
      <c r="E175" t="s">
        <v>425</v>
      </c>
      <c r="F175">
        <v>0.25</v>
      </c>
    </row>
    <row r="176" spans="1:6" x14ac:dyDescent="0.25">
      <c r="A176" t="s">
        <v>356</v>
      </c>
      <c r="B176">
        <v>21</v>
      </c>
      <c r="C176" t="s">
        <v>23</v>
      </c>
      <c r="D176">
        <v>181205</v>
      </c>
      <c r="E176" t="s">
        <v>422</v>
      </c>
      <c r="F176">
        <v>0.28000000000000003</v>
      </c>
    </row>
    <row r="177" spans="1:6" x14ac:dyDescent="0.25">
      <c r="A177" t="s">
        <v>95</v>
      </c>
      <c r="B177">
        <v>22</v>
      </c>
      <c r="C177" t="s">
        <v>17</v>
      </c>
      <c r="D177">
        <v>100378</v>
      </c>
      <c r="E177" t="s">
        <v>422</v>
      </c>
      <c r="F177">
        <v>0.26</v>
      </c>
    </row>
    <row r="178" spans="1:6" x14ac:dyDescent="0.25">
      <c r="A178" t="s">
        <v>114</v>
      </c>
      <c r="B178">
        <v>30</v>
      </c>
      <c r="C178" t="s">
        <v>31</v>
      </c>
      <c r="D178">
        <v>104833</v>
      </c>
      <c r="E178" t="s">
        <v>424</v>
      </c>
      <c r="F178">
        <v>0.22</v>
      </c>
    </row>
    <row r="179" spans="1:6" x14ac:dyDescent="0.25">
      <c r="A179" t="s">
        <v>22</v>
      </c>
      <c r="B179">
        <v>27</v>
      </c>
      <c r="C179" t="s">
        <v>36</v>
      </c>
      <c r="D179">
        <v>143727</v>
      </c>
      <c r="E179" t="s">
        <v>424</v>
      </c>
      <c r="F179">
        <v>0.23</v>
      </c>
    </row>
    <row r="180" spans="1:6" x14ac:dyDescent="0.25">
      <c r="A180" t="s">
        <v>188</v>
      </c>
      <c r="B180">
        <v>23</v>
      </c>
      <c r="C180" t="s">
        <v>72</v>
      </c>
      <c r="D180">
        <v>134464</v>
      </c>
      <c r="E180" t="s">
        <v>426</v>
      </c>
      <c r="F180">
        <v>0.23</v>
      </c>
    </row>
    <row r="181" spans="1:6" x14ac:dyDescent="0.25">
      <c r="A181" t="s">
        <v>297</v>
      </c>
      <c r="B181">
        <v>22</v>
      </c>
      <c r="C181" t="s">
        <v>25</v>
      </c>
      <c r="D181">
        <v>195456</v>
      </c>
      <c r="E181" t="s">
        <v>423</v>
      </c>
      <c r="F181">
        <v>0.28000000000000003</v>
      </c>
    </row>
    <row r="182" spans="1:6" x14ac:dyDescent="0.25">
      <c r="A182" t="s">
        <v>138</v>
      </c>
      <c r="B182">
        <v>21</v>
      </c>
      <c r="C182" t="s">
        <v>45</v>
      </c>
      <c r="D182">
        <v>193454</v>
      </c>
      <c r="E182" t="s">
        <v>426</v>
      </c>
      <c r="F182">
        <v>0.21</v>
      </c>
    </row>
    <row r="183" spans="1:6" x14ac:dyDescent="0.25">
      <c r="A183" t="s">
        <v>285</v>
      </c>
      <c r="B183">
        <v>18</v>
      </c>
      <c r="C183" t="s">
        <v>50</v>
      </c>
      <c r="D183">
        <v>147528</v>
      </c>
      <c r="E183" t="s">
        <v>422</v>
      </c>
      <c r="F183">
        <v>0.28000000000000003</v>
      </c>
    </row>
    <row r="184" spans="1:6" x14ac:dyDescent="0.25">
      <c r="A184" t="s">
        <v>212</v>
      </c>
      <c r="B184">
        <v>24</v>
      </c>
      <c r="C184" t="s">
        <v>79</v>
      </c>
      <c r="D184">
        <v>130508</v>
      </c>
      <c r="E184" t="s">
        <v>426</v>
      </c>
      <c r="F184">
        <v>0.21</v>
      </c>
    </row>
    <row r="185" spans="1:6" x14ac:dyDescent="0.25">
      <c r="A185" t="s">
        <v>166</v>
      </c>
      <c r="B185">
        <v>18</v>
      </c>
      <c r="C185" t="s">
        <v>50</v>
      </c>
      <c r="D185">
        <v>135134</v>
      </c>
      <c r="E185" t="s">
        <v>425</v>
      </c>
      <c r="F185">
        <v>0.23</v>
      </c>
    </row>
    <row r="186" spans="1:6" x14ac:dyDescent="0.25">
      <c r="A186" t="s">
        <v>230</v>
      </c>
      <c r="B186">
        <v>27</v>
      </c>
      <c r="C186" t="s">
        <v>17</v>
      </c>
      <c r="D186">
        <v>119964</v>
      </c>
      <c r="E186" t="s">
        <v>426</v>
      </c>
      <c r="F186">
        <v>0.23</v>
      </c>
    </row>
    <row r="187" spans="1:6" x14ac:dyDescent="0.25">
      <c r="A187" t="s">
        <v>335</v>
      </c>
      <c r="B187">
        <v>24</v>
      </c>
      <c r="C187" t="s">
        <v>27</v>
      </c>
      <c r="D187">
        <v>185683</v>
      </c>
      <c r="E187" t="s">
        <v>426</v>
      </c>
      <c r="F187">
        <v>0.21</v>
      </c>
    </row>
    <row r="188" spans="1:6" x14ac:dyDescent="0.25">
      <c r="A188" t="s">
        <v>178</v>
      </c>
      <c r="B188">
        <v>18</v>
      </c>
      <c r="C188" t="s">
        <v>23</v>
      </c>
      <c r="D188">
        <v>173581</v>
      </c>
      <c r="E188" t="s">
        <v>424</v>
      </c>
      <c r="F188">
        <v>0.22</v>
      </c>
    </row>
    <row r="189" spans="1:6" x14ac:dyDescent="0.25">
      <c r="A189" t="s">
        <v>63</v>
      </c>
      <c r="B189">
        <v>19</v>
      </c>
      <c r="C189" t="s">
        <v>79</v>
      </c>
      <c r="D189">
        <v>137483</v>
      </c>
      <c r="E189" t="s">
        <v>422</v>
      </c>
      <c r="F189">
        <v>0.26</v>
      </c>
    </row>
    <row r="190" spans="1:6" x14ac:dyDescent="0.25">
      <c r="A190" t="s">
        <v>341</v>
      </c>
      <c r="B190">
        <v>23</v>
      </c>
      <c r="C190" t="s">
        <v>25</v>
      </c>
      <c r="D190">
        <v>130950</v>
      </c>
      <c r="E190" t="s">
        <v>425</v>
      </c>
      <c r="F190">
        <v>0.24</v>
      </c>
    </row>
    <row r="191" spans="1:6" x14ac:dyDescent="0.25">
      <c r="A191" t="s">
        <v>302</v>
      </c>
      <c r="B191">
        <v>19</v>
      </c>
      <c r="C191" t="s">
        <v>21</v>
      </c>
      <c r="D191">
        <v>134211</v>
      </c>
      <c r="E191" t="s">
        <v>423</v>
      </c>
      <c r="F191">
        <v>0.27</v>
      </c>
    </row>
    <row r="192" spans="1:6" x14ac:dyDescent="0.25">
      <c r="A192" t="s">
        <v>172</v>
      </c>
      <c r="B192">
        <v>26</v>
      </c>
      <c r="C192" t="s">
        <v>36</v>
      </c>
      <c r="D192">
        <v>166976</v>
      </c>
      <c r="E192" t="s">
        <v>423</v>
      </c>
      <c r="F192">
        <v>0.28000000000000003</v>
      </c>
    </row>
    <row r="193" spans="1:6" x14ac:dyDescent="0.25">
      <c r="A193" t="s">
        <v>67</v>
      </c>
      <c r="B193">
        <v>18</v>
      </c>
      <c r="C193" t="s">
        <v>21</v>
      </c>
      <c r="D193">
        <v>141385</v>
      </c>
      <c r="E193" t="s">
        <v>426</v>
      </c>
      <c r="F193">
        <v>0.22</v>
      </c>
    </row>
    <row r="194" spans="1:6" x14ac:dyDescent="0.25">
      <c r="A194" t="s">
        <v>168</v>
      </c>
      <c r="B194">
        <v>23</v>
      </c>
      <c r="C194" t="s">
        <v>25</v>
      </c>
      <c r="D194">
        <v>117112</v>
      </c>
      <c r="E194" t="s">
        <v>425</v>
      </c>
      <c r="F194">
        <v>0.24</v>
      </c>
    </row>
    <row r="195" spans="1:6" x14ac:dyDescent="0.25">
      <c r="A195" t="s">
        <v>259</v>
      </c>
      <c r="B195">
        <v>28</v>
      </c>
      <c r="C195" t="s">
        <v>27</v>
      </c>
      <c r="D195">
        <v>195018</v>
      </c>
      <c r="E195" t="s">
        <v>424</v>
      </c>
      <c r="F195">
        <v>0.22</v>
      </c>
    </row>
    <row r="196" spans="1:6" x14ac:dyDescent="0.25">
      <c r="A196" t="s">
        <v>196</v>
      </c>
      <c r="B196">
        <v>21</v>
      </c>
      <c r="C196" t="s">
        <v>25</v>
      </c>
      <c r="D196">
        <v>141630</v>
      </c>
      <c r="E196" t="s">
        <v>426</v>
      </c>
      <c r="F196">
        <v>0.22</v>
      </c>
    </row>
    <row r="197" spans="1:6" x14ac:dyDescent="0.25">
      <c r="A197" t="s">
        <v>240</v>
      </c>
      <c r="B197">
        <v>26</v>
      </c>
      <c r="C197" t="s">
        <v>17</v>
      </c>
      <c r="D197">
        <v>181211</v>
      </c>
      <c r="E197" t="s">
        <v>425</v>
      </c>
      <c r="F197">
        <v>0.23</v>
      </c>
    </row>
    <row r="198" spans="1:6" x14ac:dyDescent="0.25">
      <c r="A198" t="s">
        <v>339</v>
      </c>
      <c r="B198">
        <v>23</v>
      </c>
      <c r="C198" t="s">
        <v>27</v>
      </c>
      <c r="D198">
        <v>124285</v>
      </c>
      <c r="E198" t="s">
        <v>422</v>
      </c>
      <c r="F198">
        <v>0.27</v>
      </c>
    </row>
    <row r="199" spans="1:6" x14ac:dyDescent="0.25">
      <c r="A199" t="s">
        <v>35</v>
      </c>
      <c r="B199">
        <v>26</v>
      </c>
      <c r="C199" t="s">
        <v>27</v>
      </c>
      <c r="D199">
        <v>149840</v>
      </c>
      <c r="E199" t="s">
        <v>426</v>
      </c>
      <c r="F199">
        <v>0.22</v>
      </c>
    </row>
    <row r="200" spans="1:6" x14ac:dyDescent="0.25">
      <c r="A200" t="s">
        <v>370</v>
      </c>
      <c r="B200">
        <v>23</v>
      </c>
      <c r="C200" t="s">
        <v>62</v>
      </c>
      <c r="D200">
        <v>146909</v>
      </c>
      <c r="E200" t="s">
        <v>422</v>
      </c>
      <c r="F200">
        <v>0.28000000000000003</v>
      </c>
    </row>
    <row r="201" spans="1:6" x14ac:dyDescent="0.25">
      <c r="A201" t="s">
        <v>153</v>
      </c>
      <c r="B201">
        <v>25</v>
      </c>
      <c r="C201" t="s">
        <v>62</v>
      </c>
      <c r="D201">
        <v>134217</v>
      </c>
      <c r="E201" t="s">
        <v>425</v>
      </c>
      <c r="F201">
        <v>0.23</v>
      </c>
    </row>
    <row r="202" spans="1:6" x14ac:dyDescent="0.25">
      <c r="A202" t="s">
        <v>256</v>
      </c>
      <c r="B202">
        <v>27</v>
      </c>
      <c r="C202" t="s">
        <v>31</v>
      </c>
      <c r="D202">
        <v>188715</v>
      </c>
      <c r="E202" t="s">
        <v>423</v>
      </c>
      <c r="F202">
        <v>0.27</v>
      </c>
    </row>
    <row r="203" spans="1:6" x14ac:dyDescent="0.25">
      <c r="A203" t="s">
        <v>320</v>
      </c>
      <c r="B203">
        <v>19</v>
      </c>
      <c r="C203" t="s">
        <v>79</v>
      </c>
      <c r="D203">
        <v>194077</v>
      </c>
      <c r="E203" t="s">
        <v>422</v>
      </c>
      <c r="F203">
        <v>0.25</v>
      </c>
    </row>
    <row r="204" spans="1:6" x14ac:dyDescent="0.25">
      <c r="A204" t="s">
        <v>273</v>
      </c>
      <c r="B204">
        <v>25</v>
      </c>
      <c r="C204" t="s">
        <v>27</v>
      </c>
      <c r="D204">
        <v>143366</v>
      </c>
      <c r="E204" t="s">
        <v>425</v>
      </c>
      <c r="F204">
        <v>0.24</v>
      </c>
    </row>
    <row r="205" spans="1:6" x14ac:dyDescent="0.25">
      <c r="A205" t="s">
        <v>371</v>
      </c>
      <c r="B205">
        <v>20</v>
      </c>
      <c r="C205" t="s">
        <v>31</v>
      </c>
      <c r="D205">
        <v>120798</v>
      </c>
      <c r="E205" t="s">
        <v>423</v>
      </c>
      <c r="F205">
        <v>0.25</v>
      </c>
    </row>
    <row r="206" spans="1:6" x14ac:dyDescent="0.25">
      <c r="A206" t="s">
        <v>234</v>
      </c>
      <c r="B206">
        <v>30</v>
      </c>
      <c r="C206" t="s">
        <v>27</v>
      </c>
      <c r="D206">
        <v>102821</v>
      </c>
      <c r="E206" t="s">
        <v>425</v>
      </c>
      <c r="F206">
        <v>0.23</v>
      </c>
    </row>
    <row r="207" spans="1:6" x14ac:dyDescent="0.25">
      <c r="A207" t="s">
        <v>372</v>
      </c>
      <c r="B207">
        <v>21</v>
      </c>
      <c r="C207" t="s">
        <v>50</v>
      </c>
      <c r="D207">
        <v>126206</v>
      </c>
      <c r="E207" t="s">
        <v>424</v>
      </c>
      <c r="F207">
        <v>0.22</v>
      </c>
    </row>
    <row r="208" spans="1:6" x14ac:dyDescent="0.25">
      <c r="A208" t="s">
        <v>89</v>
      </c>
      <c r="B208">
        <v>27</v>
      </c>
      <c r="C208" t="s">
        <v>19</v>
      </c>
      <c r="D208">
        <v>112683</v>
      </c>
      <c r="E208" t="s">
        <v>422</v>
      </c>
      <c r="F208">
        <v>0.28000000000000003</v>
      </c>
    </row>
    <row r="209" spans="1:6" x14ac:dyDescent="0.25">
      <c r="A209" t="s">
        <v>81</v>
      </c>
      <c r="B209">
        <v>27</v>
      </c>
      <c r="C209" t="s">
        <v>31</v>
      </c>
      <c r="D209">
        <v>127460</v>
      </c>
      <c r="E209" t="s">
        <v>424</v>
      </c>
      <c r="F209">
        <v>0.21</v>
      </c>
    </row>
    <row r="210" spans="1:6" x14ac:dyDescent="0.25">
      <c r="A210" t="s">
        <v>166</v>
      </c>
      <c r="B210">
        <v>24</v>
      </c>
      <c r="C210" t="s">
        <v>25</v>
      </c>
      <c r="D210">
        <v>185478</v>
      </c>
      <c r="E210" t="s">
        <v>426</v>
      </c>
      <c r="F210">
        <v>0.21</v>
      </c>
    </row>
    <row r="211" spans="1:6" x14ac:dyDescent="0.25">
      <c r="A211" t="s">
        <v>102</v>
      </c>
      <c r="B211">
        <v>22</v>
      </c>
      <c r="C211" t="s">
        <v>72</v>
      </c>
      <c r="D211">
        <v>194004</v>
      </c>
      <c r="E211" t="s">
        <v>424</v>
      </c>
      <c r="F211">
        <v>0.22</v>
      </c>
    </row>
    <row r="212" spans="1:6" x14ac:dyDescent="0.25">
      <c r="A212" t="s">
        <v>43</v>
      </c>
      <c r="B212">
        <v>25</v>
      </c>
      <c r="C212" t="s">
        <v>36</v>
      </c>
      <c r="D212">
        <v>112530</v>
      </c>
      <c r="E212" t="s">
        <v>422</v>
      </c>
      <c r="F212">
        <v>0.28000000000000003</v>
      </c>
    </row>
    <row r="213" spans="1:6" x14ac:dyDescent="0.25">
      <c r="A213" t="s">
        <v>131</v>
      </c>
      <c r="B213">
        <v>20</v>
      </c>
      <c r="C213" t="s">
        <v>36</v>
      </c>
      <c r="D213">
        <v>108099</v>
      </c>
      <c r="E213" t="s">
        <v>426</v>
      </c>
      <c r="F213">
        <v>0.22</v>
      </c>
    </row>
    <row r="214" spans="1:6" x14ac:dyDescent="0.25">
      <c r="A214" t="s">
        <v>281</v>
      </c>
      <c r="B214">
        <v>29</v>
      </c>
      <c r="C214" t="s">
        <v>79</v>
      </c>
      <c r="D214">
        <v>198697</v>
      </c>
      <c r="E214" t="s">
        <v>425</v>
      </c>
      <c r="F214">
        <v>0.24</v>
      </c>
    </row>
    <row r="215" spans="1:6" x14ac:dyDescent="0.25">
      <c r="A215" t="s">
        <v>81</v>
      </c>
      <c r="B215">
        <v>24</v>
      </c>
      <c r="C215" t="s">
        <v>72</v>
      </c>
      <c r="D215">
        <v>135925</v>
      </c>
      <c r="E215" t="s">
        <v>425</v>
      </c>
      <c r="F215">
        <v>0.24</v>
      </c>
    </row>
    <row r="216" spans="1:6" x14ac:dyDescent="0.25">
      <c r="A216" t="s">
        <v>352</v>
      </c>
      <c r="B216">
        <v>21</v>
      </c>
      <c r="C216" t="s">
        <v>33</v>
      </c>
      <c r="D216">
        <v>155671</v>
      </c>
      <c r="E216" t="s">
        <v>422</v>
      </c>
      <c r="F216">
        <v>0.27</v>
      </c>
    </row>
    <row r="217" spans="1:6" x14ac:dyDescent="0.25">
      <c r="A217" t="s">
        <v>166</v>
      </c>
      <c r="B217">
        <v>21</v>
      </c>
      <c r="C217" t="s">
        <v>19</v>
      </c>
      <c r="D217">
        <v>101061</v>
      </c>
      <c r="E217" t="s">
        <v>423</v>
      </c>
      <c r="F217">
        <v>0.25</v>
      </c>
    </row>
    <row r="218" spans="1:6" x14ac:dyDescent="0.25">
      <c r="A218" t="s">
        <v>343</v>
      </c>
      <c r="B218">
        <v>27</v>
      </c>
      <c r="C218" t="s">
        <v>50</v>
      </c>
      <c r="D218">
        <v>155052</v>
      </c>
      <c r="E218" t="s">
        <v>424</v>
      </c>
      <c r="F218">
        <v>0.22</v>
      </c>
    </row>
    <row r="219" spans="1:6" x14ac:dyDescent="0.25">
      <c r="A219" t="s">
        <v>240</v>
      </c>
      <c r="B219">
        <v>28</v>
      </c>
      <c r="C219" t="s">
        <v>45</v>
      </c>
      <c r="D219">
        <v>188724</v>
      </c>
      <c r="E219" t="s">
        <v>423</v>
      </c>
      <c r="F219">
        <v>0.28000000000000003</v>
      </c>
    </row>
    <row r="220" spans="1:6" x14ac:dyDescent="0.25">
      <c r="A220" t="s">
        <v>373</v>
      </c>
      <c r="B220">
        <v>25</v>
      </c>
      <c r="C220" t="s">
        <v>19</v>
      </c>
      <c r="D220">
        <v>197259</v>
      </c>
      <c r="E220" t="s">
        <v>422</v>
      </c>
      <c r="F220">
        <v>0.27</v>
      </c>
    </row>
    <row r="221" spans="1:6" x14ac:dyDescent="0.25">
      <c r="A221" t="s">
        <v>270</v>
      </c>
      <c r="B221">
        <v>20</v>
      </c>
      <c r="C221" t="s">
        <v>25</v>
      </c>
      <c r="D221">
        <v>173782</v>
      </c>
      <c r="E221" t="s">
        <v>422</v>
      </c>
      <c r="F221">
        <v>0.26</v>
      </c>
    </row>
    <row r="222" spans="1:6" x14ac:dyDescent="0.25">
      <c r="A222" t="s">
        <v>374</v>
      </c>
      <c r="B222">
        <v>19</v>
      </c>
      <c r="C222" t="s">
        <v>15</v>
      </c>
      <c r="D222">
        <v>191452</v>
      </c>
      <c r="E222" t="s">
        <v>424</v>
      </c>
      <c r="F222">
        <v>0.22</v>
      </c>
    </row>
    <row r="223" spans="1:6" x14ac:dyDescent="0.25">
      <c r="A223" t="s">
        <v>32</v>
      </c>
      <c r="B223">
        <v>18</v>
      </c>
      <c r="C223" t="s">
        <v>62</v>
      </c>
      <c r="D223">
        <v>154041</v>
      </c>
      <c r="E223" t="s">
        <v>423</v>
      </c>
      <c r="F223">
        <v>0.26</v>
      </c>
    </row>
    <row r="224" spans="1:6" x14ac:dyDescent="0.25">
      <c r="A224" t="s">
        <v>295</v>
      </c>
      <c r="B224">
        <v>26</v>
      </c>
      <c r="C224" t="s">
        <v>17</v>
      </c>
      <c r="D224">
        <v>122343</v>
      </c>
      <c r="E224" t="s">
        <v>426</v>
      </c>
      <c r="F224">
        <v>0.21</v>
      </c>
    </row>
    <row r="225" spans="1:6" x14ac:dyDescent="0.25">
      <c r="A225" t="s">
        <v>356</v>
      </c>
      <c r="B225">
        <v>21</v>
      </c>
      <c r="C225" t="s">
        <v>45</v>
      </c>
      <c r="D225">
        <v>135082</v>
      </c>
      <c r="E225" t="s">
        <v>422</v>
      </c>
      <c r="F225">
        <v>0.28000000000000003</v>
      </c>
    </row>
    <row r="226" spans="1:6" x14ac:dyDescent="0.25">
      <c r="A226" t="s">
        <v>375</v>
      </c>
      <c r="B226">
        <v>19</v>
      </c>
      <c r="C226" t="s">
        <v>25</v>
      </c>
      <c r="D226">
        <v>158860</v>
      </c>
      <c r="E226" t="s">
        <v>424</v>
      </c>
      <c r="F226">
        <v>0.23</v>
      </c>
    </row>
    <row r="227" spans="1:6" x14ac:dyDescent="0.25">
      <c r="A227" t="s">
        <v>221</v>
      </c>
      <c r="B227">
        <v>23</v>
      </c>
      <c r="C227" t="s">
        <v>62</v>
      </c>
      <c r="D227">
        <v>118132</v>
      </c>
      <c r="E227" t="s">
        <v>424</v>
      </c>
      <c r="F227">
        <v>0.23</v>
      </c>
    </row>
    <row r="228" spans="1:6" x14ac:dyDescent="0.25">
      <c r="A228" t="s">
        <v>315</v>
      </c>
      <c r="B228">
        <v>20</v>
      </c>
      <c r="C228" t="s">
        <v>79</v>
      </c>
      <c r="D228">
        <v>142191</v>
      </c>
      <c r="E228" t="s">
        <v>424</v>
      </c>
      <c r="F228">
        <v>0.21</v>
      </c>
    </row>
    <row r="229" spans="1:6" x14ac:dyDescent="0.25">
      <c r="A229" t="s">
        <v>215</v>
      </c>
      <c r="B229">
        <v>28</v>
      </c>
      <c r="C229" t="s">
        <v>31</v>
      </c>
      <c r="D229">
        <v>111740</v>
      </c>
      <c r="E229" t="s">
        <v>424</v>
      </c>
      <c r="F229">
        <v>0.23</v>
      </c>
    </row>
    <row r="230" spans="1:6" x14ac:dyDescent="0.25">
      <c r="A230" t="s">
        <v>314</v>
      </c>
      <c r="B230">
        <v>23</v>
      </c>
      <c r="C230" t="s">
        <v>62</v>
      </c>
      <c r="D230">
        <v>191527</v>
      </c>
      <c r="E230" t="s">
        <v>424</v>
      </c>
      <c r="F230">
        <v>0.21</v>
      </c>
    </row>
    <row r="231" spans="1:6" x14ac:dyDescent="0.25">
      <c r="A231" t="s">
        <v>241</v>
      </c>
      <c r="B231">
        <v>25</v>
      </c>
      <c r="C231" t="s">
        <v>45</v>
      </c>
      <c r="D231">
        <v>166670</v>
      </c>
      <c r="E231" t="s">
        <v>423</v>
      </c>
      <c r="F231">
        <v>0.27</v>
      </c>
    </row>
    <row r="232" spans="1:6" x14ac:dyDescent="0.25">
      <c r="A232" t="s">
        <v>291</v>
      </c>
      <c r="B232">
        <v>27</v>
      </c>
      <c r="C232" t="s">
        <v>31</v>
      </c>
      <c r="D232">
        <v>182186</v>
      </c>
      <c r="E232" t="s">
        <v>424</v>
      </c>
      <c r="F232">
        <v>0.21</v>
      </c>
    </row>
    <row r="233" spans="1:6" x14ac:dyDescent="0.25">
      <c r="A233" t="s">
        <v>295</v>
      </c>
      <c r="B233">
        <v>28</v>
      </c>
      <c r="C233" t="s">
        <v>79</v>
      </c>
      <c r="D233">
        <v>118446</v>
      </c>
      <c r="E233" t="s">
        <v>425</v>
      </c>
      <c r="F233">
        <v>0.23</v>
      </c>
    </row>
    <row r="234" spans="1:6" x14ac:dyDescent="0.25">
      <c r="A234" t="s">
        <v>376</v>
      </c>
      <c r="B234">
        <v>24</v>
      </c>
      <c r="C234" t="s">
        <v>27</v>
      </c>
      <c r="D234">
        <v>139498</v>
      </c>
      <c r="E234" t="s">
        <v>425</v>
      </c>
      <c r="F234">
        <v>0.25</v>
      </c>
    </row>
    <row r="235" spans="1:6" x14ac:dyDescent="0.25">
      <c r="A235" t="s">
        <v>144</v>
      </c>
      <c r="B235">
        <v>20</v>
      </c>
      <c r="C235" t="s">
        <v>15</v>
      </c>
      <c r="D235">
        <v>173459</v>
      </c>
      <c r="E235" t="s">
        <v>423</v>
      </c>
      <c r="F235">
        <v>0.28000000000000003</v>
      </c>
    </row>
    <row r="236" spans="1:6" x14ac:dyDescent="0.25">
      <c r="A236" t="s">
        <v>264</v>
      </c>
      <c r="B236">
        <v>22</v>
      </c>
      <c r="C236" t="s">
        <v>21</v>
      </c>
      <c r="D236">
        <v>121294</v>
      </c>
      <c r="E236" t="s">
        <v>424</v>
      </c>
      <c r="F236">
        <v>0.22</v>
      </c>
    </row>
    <row r="237" spans="1:6" x14ac:dyDescent="0.25">
      <c r="A237" t="s">
        <v>233</v>
      </c>
      <c r="B237">
        <v>19</v>
      </c>
      <c r="C237" t="s">
        <v>79</v>
      </c>
      <c r="D237">
        <v>149562</v>
      </c>
      <c r="E237" t="s">
        <v>423</v>
      </c>
      <c r="F237">
        <v>0.26</v>
      </c>
    </row>
    <row r="238" spans="1:6" x14ac:dyDescent="0.25">
      <c r="A238" t="s">
        <v>191</v>
      </c>
      <c r="B238">
        <v>24</v>
      </c>
      <c r="C238" t="s">
        <v>45</v>
      </c>
      <c r="D238">
        <v>152482</v>
      </c>
      <c r="E238" t="s">
        <v>425</v>
      </c>
      <c r="F238">
        <v>0.25</v>
      </c>
    </row>
    <row r="239" spans="1:6" x14ac:dyDescent="0.25">
      <c r="A239" t="s">
        <v>65</v>
      </c>
      <c r="B239">
        <v>29</v>
      </c>
      <c r="C239" t="s">
        <v>62</v>
      </c>
      <c r="D239">
        <v>104808</v>
      </c>
      <c r="E239" t="s">
        <v>422</v>
      </c>
      <c r="F239">
        <v>0.25</v>
      </c>
    </row>
    <row r="240" spans="1:6" x14ac:dyDescent="0.25">
      <c r="A240" t="s">
        <v>256</v>
      </c>
      <c r="B240">
        <v>26</v>
      </c>
      <c r="C240" t="s">
        <v>27</v>
      </c>
      <c r="D240">
        <v>154485</v>
      </c>
      <c r="E240" t="s">
        <v>424</v>
      </c>
      <c r="F240">
        <v>0.23</v>
      </c>
    </row>
    <row r="241" spans="1:6" x14ac:dyDescent="0.25">
      <c r="A241" t="s">
        <v>154</v>
      </c>
      <c r="B241">
        <v>27</v>
      </c>
      <c r="C241" t="s">
        <v>21</v>
      </c>
      <c r="D241">
        <v>111770</v>
      </c>
      <c r="E241" t="s">
        <v>422</v>
      </c>
      <c r="F241">
        <v>0.27</v>
      </c>
    </row>
    <row r="242" spans="1:6" x14ac:dyDescent="0.25">
      <c r="A242" t="s">
        <v>263</v>
      </c>
      <c r="B242">
        <v>19</v>
      </c>
      <c r="C242" t="s">
        <v>19</v>
      </c>
      <c r="D242">
        <v>117816</v>
      </c>
      <c r="E242" t="s">
        <v>422</v>
      </c>
      <c r="F242">
        <v>0.26</v>
      </c>
    </row>
    <row r="243" spans="1:6" x14ac:dyDescent="0.25">
      <c r="A243" t="s">
        <v>377</v>
      </c>
      <c r="B243">
        <v>27</v>
      </c>
      <c r="C243" t="s">
        <v>79</v>
      </c>
      <c r="D243">
        <v>119528</v>
      </c>
      <c r="E243" t="s">
        <v>425</v>
      </c>
      <c r="F243">
        <v>0.23</v>
      </c>
    </row>
    <row r="244" spans="1:6" x14ac:dyDescent="0.25">
      <c r="A244" t="s">
        <v>137</v>
      </c>
      <c r="B244">
        <v>21</v>
      </c>
      <c r="C244" t="s">
        <v>79</v>
      </c>
      <c r="D244">
        <v>130285</v>
      </c>
      <c r="E244" t="s">
        <v>426</v>
      </c>
      <c r="F244">
        <v>0.22</v>
      </c>
    </row>
    <row r="245" spans="1:6" x14ac:dyDescent="0.25">
      <c r="A245" t="s">
        <v>378</v>
      </c>
      <c r="B245">
        <v>24</v>
      </c>
      <c r="C245" t="s">
        <v>25</v>
      </c>
      <c r="D245">
        <v>124012</v>
      </c>
      <c r="E245" t="s">
        <v>422</v>
      </c>
      <c r="F245">
        <v>0.26</v>
      </c>
    </row>
    <row r="246" spans="1:6" x14ac:dyDescent="0.25">
      <c r="A246" t="s">
        <v>110</v>
      </c>
      <c r="B246">
        <v>20</v>
      </c>
      <c r="C246" t="s">
        <v>31</v>
      </c>
      <c r="D246">
        <v>183905</v>
      </c>
      <c r="E246" t="s">
        <v>426</v>
      </c>
      <c r="F246">
        <v>0.21</v>
      </c>
    </row>
    <row r="247" spans="1:6" x14ac:dyDescent="0.25">
      <c r="A247" t="s">
        <v>69</v>
      </c>
      <c r="B247">
        <v>20</v>
      </c>
      <c r="C247" t="s">
        <v>23</v>
      </c>
      <c r="D247">
        <v>149387</v>
      </c>
      <c r="E247" t="s">
        <v>424</v>
      </c>
      <c r="F247">
        <v>0.21</v>
      </c>
    </row>
    <row r="248" spans="1:6" x14ac:dyDescent="0.25">
      <c r="A248" t="s">
        <v>144</v>
      </c>
      <c r="B248">
        <v>19</v>
      </c>
      <c r="C248" t="s">
        <v>79</v>
      </c>
      <c r="D248">
        <v>108354</v>
      </c>
      <c r="E248" t="s">
        <v>425</v>
      </c>
      <c r="F248">
        <v>0.25</v>
      </c>
    </row>
    <row r="249" spans="1:6" x14ac:dyDescent="0.25">
      <c r="A249" t="s">
        <v>379</v>
      </c>
      <c r="B249">
        <v>29</v>
      </c>
      <c r="C249" t="s">
        <v>36</v>
      </c>
      <c r="D249">
        <v>169738</v>
      </c>
      <c r="E249" t="s">
        <v>422</v>
      </c>
      <c r="F249">
        <v>0.26</v>
      </c>
    </row>
    <row r="250" spans="1:6" x14ac:dyDescent="0.25">
      <c r="A250" t="s">
        <v>38</v>
      </c>
      <c r="B250">
        <v>24</v>
      </c>
      <c r="C250" t="s">
        <v>17</v>
      </c>
      <c r="D250">
        <v>105868</v>
      </c>
      <c r="E250" t="s">
        <v>426</v>
      </c>
      <c r="F250">
        <v>0.23</v>
      </c>
    </row>
    <row r="251" spans="1:6" x14ac:dyDescent="0.25">
      <c r="A251" t="s">
        <v>98</v>
      </c>
      <c r="B251">
        <v>18</v>
      </c>
      <c r="C251" t="s">
        <v>17</v>
      </c>
      <c r="D251">
        <v>147946</v>
      </c>
      <c r="E251" t="s">
        <v>426</v>
      </c>
      <c r="F251">
        <v>0.23</v>
      </c>
    </row>
    <row r="252" spans="1:6" x14ac:dyDescent="0.25">
      <c r="A252" t="s">
        <v>109</v>
      </c>
      <c r="B252">
        <v>23</v>
      </c>
      <c r="C252" t="s">
        <v>23</v>
      </c>
      <c r="D252">
        <v>116113</v>
      </c>
      <c r="E252" t="s">
        <v>422</v>
      </c>
      <c r="F252">
        <v>0.28000000000000003</v>
      </c>
    </row>
    <row r="253" spans="1:6" x14ac:dyDescent="0.25">
      <c r="A253" t="s">
        <v>20</v>
      </c>
      <c r="B253">
        <v>29</v>
      </c>
      <c r="C253" t="s">
        <v>17</v>
      </c>
      <c r="D253">
        <v>191730</v>
      </c>
      <c r="E253" t="s">
        <v>423</v>
      </c>
      <c r="F253">
        <v>0.28000000000000003</v>
      </c>
    </row>
    <row r="254" spans="1:6" x14ac:dyDescent="0.25">
      <c r="A254" t="s">
        <v>380</v>
      </c>
      <c r="B254">
        <v>29</v>
      </c>
      <c r="C254" t="s">
        <v>17</v>
      </c>
      <c r="D254">
        <v>149257</v>
      </c>
      <c r="E254" t="s">
        <v>425</v>
      </c>
      <c r="F254">
        <v>0.25</v>
      </c>
    </row>
    <row r="255" spans="1:6" x14ac:dyDescent="0.25">
      <c r="A255" t="s">
        <v>154</v>
      </c>
      <c r="B255">
        <v>21</v>
      </c>
      <c r="C255" t="s">
        <v>23</v>
      </c>
      <c r="D255">
        <v>179446</v>
      </c>
      <c r="E255" t="s">
        <v>425</v>
      </c>
      <c r="F255">
        <v>0.24</v>
      </c>
    </row>
    <row r="256" spans="1:6" x14ac:dyDescent="0.25">
      <c r="A256" t="s">
        <v>381</v>
      </c>
      <c r="B256">
        <v>21</v>
      </c>
      <c r="C256" t="s">
        <v>45</v>
      </c>
      <c r="D256">
        <v>133545</v>
      </c>
      <c r="E256" t="s">
        <v>424</v>
      </c>
      <c r="F256">
        <v>0.23</v>
      </c>
    </row>
    <row r="257" spans="1:6" x14ac:dyDescent="0.25">
      <c r="A257" t="s">
        <v>95</v>
      </c>
      <c r="B257">
        <v>24</v>
      </c>
      <c r="C257" t="s">
        <v>23</v>
      </c>
      <c r="D257">
        <v>168775</v>
      </c>
      <c r="E257" t="s">
        <v>423</v>
      </c>
      <c r="F257">
        <v>0.27</v>
      </c>
    </row>
    <row r="258" spans="1:6" x14ac:dyDescent="0.25">
      <c r="A258" t="s">
        <v>263</v>
      </c>
      <c r="B258">
        <v>18</v>
      </c>
      <c r="C258" t="s">
        <v>25</v>
      </c>
      <c r="D258">
        <v>197419</v>
      </c>
      <c r="E258" t="s">
        <v>426</v>
      </c>
      <c r="F258">
        <v>0.21</v>
      </c>
    </row>
    <row r="259" spans="1:6" x14ac:dyDescent="0.25">
      <c r="A259" t="s">
        <v>382</v>
      </c>
      <c r="B259">
        <v>23</v>
      </c>
      <c r="C259" t="s">
        <v>31</v>
      </c>
      <c r="D259">
        <v>117039</v>
      </c>
      <c r="E259" t="s">
        <v>425</v>
      </c>
      <c r="F259">
        <v>0.23</v>
      </c>
    </row>
    <row r="260" spans="1:6" x14ac:dyDescent="0.25">
      <c r="A260" t="s">
        <v>180</v>
      </c>
      <c r="B260">
        <v>22</v>
      </c>
      <c r="C260" t="s">
        <v>79</v>
      </c>
      <c r="D260">
        <v>186858</v>
      </c>
      <c r="E260" t="s">
        <v>422</v>
      </c>
      <c r="F260">
        <v>0.26</v>
      </c>
    </row>
    <row r="261" spans="1:6" x14ac:dyDescent="0.25">
      <c r="A261" t="s">
        <v>114</v>
      </c>
      <c r="B261">
        <v>19</v>
      </c>
      <c r="C261" t="s">
        <v>79</v>
      </c>
      <c r="D261">
        <v>139679</v>
      </c>
      <c r="E261" t="s">
        <v>426</v>
      </c>
      <c r="F261">
        <v>0.23</v>
      </c>
    </row>
    <row r="262" spans="1:6" x14ac:dyDescent="0.25">
      <c r="A262" t="s">
        <v>261</v>
      </c>
      <c r="B262">
        <v>27</v>
      </c>
      <c r="C262" t="s">
        <v>19</v>
      </c>
      <c r="D262">
        <v>187732</v>
      </c>
      <c r="E262" t="s">
        <v>423</v>
      </c>
      <c r="F262">
        <v>0.26</v>
      </c>
    </row>
    <row r="263" spans="1:6" x14ac:dyDescent="0.25">
      <c r="A263" t="s">
        <v>66</v>
      </c>
      <c r="B263">
        <v>25</v>
      </c>
      <c r="C263" t="s">
        <v>79</v>
      </c>
      <c r="D263">
        <v>137785</v>
      </c>
      <c r="E263" t="s">
        <v>422</v>
      </c>
      <c r="F263">
        <v>0.25</v>
      </c>
    </row>
    <row r="264" spans="1:6" x14ac:dyDescent="0.25">
      <c r="A264" t="s">
        <v>34</v>
      </c>
      <c r="B264">
        <v>20</v>
      </c>
      <c r="C264" t="s">
        <v>72</v>
      </c>
      <c r="D264">
        <v>167711</v>
      </c>
      <c r="E264" t="s">
        <v>424</v>
      </c>
      <c r="F264">
        <v>0.22</v>
      </c>
    </row>
    <row r="265" spans="1:6" x14ac:dyDescent="0.25">
      <c r="A265" t="s">
        <v>116</v>
      </c>
      <c r="B265">
        <v>27</v>
      </c>
      <c r="C265" t="s">
        <v>72</v>
      </c>
      <c r="D265">
        <v>143420</v>
      </c>
      <c r="E265" t="s">
        <v>423</v>
      </c>
      <c r="F265">
        <v>0.27</v>
      </c>
    </row>
    <row r="266" spans="1:6" x14ac:dyDescent="0.25">
      <c r="A266" t="s">
        <v>238</v>
      </c>
      <c r="B266">
        <v>20</v>
      </c>
      <c r="C266" t="s">
        <v>79</v>
      </c>
      <c r="D266">
        <v>150623</v>
      </c>
      <c r="E266" t="s">
        <v>422</v>
      </c>
      <c r="F266">
        <v>0.26</v>
      </c>
    </row>
    <row r="267" spans="1:6" x14ac:dyDescent="0.25">
      <c r="A267" t="s">
        <v>383</v>
      </c>
      <c r="B267">
        <v>26</v>
      </c>
      <c r="C267" t="s">
        <v>15</v>
      </c>
      <c r="D267">
        <v>187084</v>
      </c>
      <c r="E267" t="s">
        <v>423</v>
      </c>
      <c r="F267">
        <v>0.25</v>
      </c>
    </row>
    <row r="268" spans="1:6" x14ac:dyDescent="0.25">
      <c r="A268" t="s">
        <v>183</v>
      </c>
      <c r="B268">
        <v>19</v>
      </c>
      <c r="C268" t="s">
        <v>36</v>
      </c>
      <c r="D268">
        <v>116515</v>
      </c>
      <c r="E268" t="s">
        <v>423</v>
      </c>
      <c r="F268">
        <v>0.27</v>
      </c>
    </row>
    <row r="269" spans="1:6" x14ac:dyDescent="0.25">
      <c r="A269" t="s">
        <v>129</v>
      </c>
      <c r="B269">
        <v>30</v>
      </c>
      <c r="C269" t="s">
        <v>50</v>
      </c>
      <c r="D269">
        <v>141490</v>
      </c>
      <c r="E269" t="s">
        <v>422</v>
      </c>
      <c r="F269">
        <v>0.28000000000000003</v>
      </c>
    </row>
    <row r="270" spans="1:6" x14ac:dyDescent="0.25">
      <c r="A270" t="s">
        <v>185</v>
      </c>
      <c r="B270">
        <v>29</v>
      </c>
      <c r="C270" t="s">
        <v>79</v>
      </c>
      <c r="D270">
        <v>141155</v>
      </c>
      <c r="E270" t="s">
        <v>422</v>
      </c>
      <c r="F270">
        <v>0.28000000000000003</v>
      </c>
    </row>
    <row r="271" spans="1:6" x14ac:dyDescent="0.25">
      <c r="A271" t="s">
        <v>384</v>
      </c>
      <c r="B271">
        <v>27</v>
      </c>
      <c r="C271" t="s">
        <v>31</v>
      </c>
      <c r="D271">
        <v>149745</v>
      </c>
      <c r="E271" t="s">
        <v>423</v>
      </c>
      <c r="F271">
        <v>0.28000000000000003</v>
      </c>
    </row>
    <row r="272" spans="1:6" x14ac:dyDescent="0.25">
      <c r="A272" t="s">
        <v>119</v>
      </c>
      <c r="B272">
        <v>21</v>
      </c>
      <c r="C272" t="s">
        <v>50</v>
      </c>
      <c r="D272">
        <v>189944</v>
      </c>
      <c r="E272" t="s">
        <v>426</v>
      </c>
      <c r="F272">
        <v>0.23</v>
      </c>
    </row>
    <row r="273" spans="1:6" x14ac:dyDescent="0.25">
      <c r="A273" t="s">
        <v>83</v>
      </c>
      <c r="B273">
        <v>18</v>
      </c>
      <c r="C273" t="s">
        <v>50</v>
      </c>
      <c r="D273">
        <v>182109</v>
      </c>
      <c r="E273" t="s">
        <v>425</v>
      </c>
      <c r="F273">
        <v>0.24</v>
      </c>
    </row>
    <row r="274" spans="1:6" x14ac:dyDescent="0.25">
      <c r="A274" t="s">
        <v>376</v>
      </c>
      <c r="B274">
        <v>27</v>
      </c>
      <c r="C274" t="s">
        <v>72</v>
      </c>
      <c r="D274">
        <v>135143</v>
      </c>
      <c r="E274" t="s">
        <v>424</v>
      </c>
      <c r="F274">
        <v>0.21</v>
      </c>
    </row>
    <row r="275" spans="1:6" x14ac:dyDescent="0.25">
      <c r="A275" t="s">
        <v>376</v>
      </c>
      <c r="B275">
        <v>27</v>
      </c>
      <c r="C275" t="s">
        <v>72</v>
      </c>
      <c r="D275">
        <v>130400</v>
      </c>
      <c r="E275" t="s">
        <v>423</v>
      </c>
      <c r="F275">
        <v>0.28000000000000003</v>
      </c>
    </row>
    <row r="276" spans="1:6" x14ac:dyDescent="0.25">
      <c r="A276" t="s">
        <v>93</v>
      </c>
      <c r="B276">
        <v>30</v>
      </c>
      <c r="C276" t="s">
        <v>33</v>
      </c>
      <c r="D276">
        <v>139390</v>
      </c>
      <c r="E276" t="s">
        <v>423</v>
      </c>
      <c r="F276">
        <v>0.28000000000000003</v>
      </c>
    </row>
    <row r="277" spans="1:6" x14ac:dyDescent="0.25">
      <c r="A277" t="s">
        <v>385</v>
      </c>
      <c r="B277">
        <v>25</v>
      </c>
      <c r="C277" t="s">
        <v>21</v>
      </c>
      <c r="D277">
        <v>176821</v>
      </c>
      <c r="E277" t="s">
        <v>422</v>
      </c>
      <c r="F277">
        <v>0.27</v>
      </c>
    </row>
    <row r="278" spans="1:6" x14ac:dyDescent="0.25">
      <c r="A278" t="s">
        <v>272</v>
      </c>
      <c r="B278">
        <v>23</v>
      </c>
      <c r="C278" t="s">
        <v>27</v>
      </c>
      <c r="D278">
        <v>141686</v>
      </c>
      <c r="E278" t="s">
        <v>424</v>
      </c>
      <c r="F278">
        <v>0.22</v>
      </c>
    </row>
    <row r="279" spans="1:6" x14ac:dyDescent="0.25">
      <c r="A279" t="s">
        <v>238</v>
      </c>
      <c r="B279">
        <v>20</v>
      </c>
      <c r="C279" t="s">
        <v>79</v>
      </c>
      <c r="D279">
        <v>140119</v>
      </c>
      <c r="E279" t="s">
        <v>426</v>
      </c>
      <c r="F279">
        <v>0.23</v>
      </c>
    </row>
    <row r="280" spans="1:6" x14ac:dyDescent="0.25">
      <c r="A280" t="s">
        <v>262</v>
      </c>
      <c r="B280">
        <v>22</v>
      </c>
      <c r="C280" t="s">
        <v>17</v>
      </c>
      <c r="D280">
        <v>188230</v>
      </c>
      <c r="E280" t="s">
        <v>425</v>
      </c>
      <c r="F280">
        <v>0.25</v>
      </c>
    </row>
    <row r="281" spans="1:6" x14ac:dyDescent="0.25">
      <c r="A281" t="s">
        <v>65</v>
      </c>
      <c r="B281">
        <v>29</v>
      </c>
      <c r="C281" t="s">
        <v>45</v>
      </c>
      <c r="D281">
        <v>139202</v>
      </c>
      <c r="E281" t="s">
        <v>423</v>
      </c>
      <c r="F281">
        <v>0.28000000000000003</v>
      </c>
    </row>
    <row r="282" spans="1:6" x14ac:dyDescent="0.25">
      <c r="A282" t="s">
        <v>69</v>
      </c>
      <c r="B282">
        <v>22</v>
      </c>
      <c r="C282" t="s">
        <v>23</v>
      </c>
      <c r="D282">
        <v>129229</v>
      </c>
      <c r="E282" t="s">
        <v>424</v>
      </c>
      <c r="F282">
        <v>0.22</v>
      </c>
    </row>
    <row r="283" spans="1:6" x14ac:dyDescent="0.25">
      <c r="A283" t="s">
        <v>254</v>
      </c>
      <c r="B283">
        <v>30</v>
      </c>
      <c r="C283" t="s">
        <v>72</v>
      </c>
      <c r="D283">
        <v>104673</v>
      </c>
      <c r="E283" t="s">
        <v>425</v>
      </c>
      <c r="F283">
        <v>0.24</v>
      </c>
    </row>
    <row r="284" spans="1:6" x14ac:dyDescent="0.25">
      <c r="A284" t="s">
        <v>144</v>
      </c>
      <c r="B284">
        <v>29</v>
      </c>
      <c r="C284" t="s">
        <v>33</v>
      </c>
      <c r="D284">
        <v>176667</v>
      </c>
      <c r="E284" t="s">
        <v>422</v>
      </c>
      <c r="F284">
        <v>0.28000000000000003</v>
      </c>
    </row>
    <row r="285" spans="1:6" x14ac:dyDescent="0.25">
      <c r="A285" t="s">
        <v>85</v>
      </c>
      <c r="B285">
        <v>21</v>
      </c>
      <c r="C285" t="s">
        <v>45</v>
      </c>
      <c r="D285">
        <v>190789</v>
      </c>
      <c r="E285" t="s">
        <v>426</v>
      </c>
      <c r="F285">
        <v>0.21</v>
      </c>
    </row>
    <row r="286" spans="1:6" x14ac:dyDescent="0.25">
      <c r="A286" t="s">
        <v>337</v>
      </c>
      <c r="B286">
        <v>20</v>
      </c>
      <c r="C286" t="s">
        <v>27</v>
      </c>
      <c r="D286">
        <v>143841</v>
      </c>
      <c r="E286" t="s">
        <v>425</v>
      </c>
      <c r="F286">
        <v>0.23</v>
      </c>
    </row>
    <row r="287" spans="1:6" x14ac:dyDescent="0.25">
      <c r="A287" t="s">
        <v>386</v>
      </c>
      <c r="B287">
        <v>30</v>
      </c>
      <c r="C287" t="s">
        <v>17</v>
      </c>
      <c r="D287">
        <v>158153</v>
      </c>
      <c r="E287" t="s">
        <v>423</v>
      </c>
      <c r="F287">
        <v>0.25</v>
      </c>
    </row>
    <row r="288" spans="1:6" x14ac:dyDescent="0.25">
      <c r="A288" t="s">
        <v>52</v>
      </c>
      <c r="B288">
        <v>27</v>
      </c>
      <c r="C288" t="s">
        <v>25</v>
      </c>
      <c r="D288">
        <v>136611</v>
      </c>
      <c r="E288" t="s">
        <v>422</v>
      </c>
      <c r="F288">
        <v>0.27</v>
      </c>
    </row>
    <row r="289" spans="1:6" x14ac:dyDescent="0.25">
      <c r="A289" t="s">
        <v>121</v>
      </c>
      <c r="B289">
        <v>22</v>
      </c>
      <c r="C289" t="s">
        <v>45</v>
      </c>
      <c r="D289">
        <v>107302</v>
      </c>
      <c r="E289" t="s">
        <v>425</v>
      </c>
      <c r="F289">
        <v>0.23</v>
      </c>
    </row>
    <row r="290" spans="1:6" x14ac:dyDescent="0.25">
      <c r="A290" t="s">
        <v>126</v>
      </c>
      <c r="B290">
        <v>18</v>
      </c>
      <c r="C290" t="s">
        <v>36</v>
      </c>
      <c r="D290">
        <v>154250</v>
      </c>
      <c r="E290" t="s">
        <v>423</v>
      </c>
      <c r="F290">
        <v>0.28000000000000003</v>
      </c>
    </row>
    <row r="291" spans="1:6" x14ac:dyDescent="0.25">
      <c r="A291" t="s">
        <v>344</v>
      </c>
      <c r="B291">
        <v>30</v>
      </c>
      <c r="C291" t="s">
        <v>79</v>
      </c>
      <c r="D291">
        <v>140720</v>
      </c>
      <c r="E291" t="s">
        <v>425</v>
      </c>
      <c r="F291">
        <v>0.24</v>
      </c>
    </row>
    <row r="292" spans="1:6" x14ac:dyDescent="0.25">
      <c r="A292" t="s">
        <v>387</v>
      </c>
      <c r="B292">
        <v>25</v>
      </c>
      <c r="C292" t="s">
        <v>25</v>
      </c>
      <c r="D292">
        <v>160785</v>
      </c>
      <c r="E292" t="s">
        <v>426</v>
      </c>
      <c r="F292">
        <v>0.22</v>
      </c>
    </row>
    <row r="293" spans="1:6" x14ac:dyDescent="0.25">
      <c r="A293" t="s">
        <v>51</v>
      </c>
      <c r="B293">
        <v>24</v>
      </c>
      <c r="C293" t="s">
        <v>33</v>
      </c>
      <c r="D293">
        <v>164659</v>
      </c>
      <c r="E293" t="s">
        <v>422</v>
      </c>
      <c r="F293">
        <v>0.27</v>
      </c>
    </row>
    <row r="294" spans="1:6" x14ac:dyDescent="0.25">
      <c r="A294" t="s">
        <v>213</v>
      </c>
      <c r="B294">
        <v>28</v>
      </c>
      <c r="C294" t="s">
        <v>33</v>
      </c>
      <c r="D294">
        <v>190914</v>
      </c>
      <c r="E294" t="s">
        <v>426</v>
      </c>
      <c r="F294">
        <v>0.23</v>
      </c>
    </row>
    <row r="295" spans="1:6" x14ac:dyDescent="0.25">
      <c r="A295" t="s">
        <v>388</v>
      </c>
      <c r="B295">
        <v>18</v>
      </c>
      <c r="C295" t="s">
        <v>62</v>
      </c>
      <c r="D295">
        <v>172899</v>
      </c>
      <c r="E295" t="s">
        <v>422</v>
      </c>
      <c r="F295">
        <v>0.25</v>
      </c>
    </row>
    <row r="296" spans="1:6" x14ac:dyDescent="0.25">
      <c r="A296" t="s">
        <v>202</v>
      </c>
      <c r="B296">
        <v>19</v>
      </c>
      <c r="C296" t="s">
        <v>36</v>
      </c>
      <c r="D296">
        <v>162643</v>
      </c>
      <c r="E296" t="s">
        <v>423</v>
      </c>
      <c r="F296">
        <v>0.25</v>
      </c>
    </row>
    <row r="297" spans="1:6" x14ac:dyDescent="0.25">
      <c r="A297" t="s">
        <v>369</v>
      </c>
      <c r="B297">
        <v>28</v>
      </c>
      <c r="C297" t="s">
        <v>50</v>
      </c>
      <c r="D297">
        <v>160023</v>
      </c>
      <c r="E297" t="s">
        <v>423</v>
      </c>
      <c r="F297">
        <v>0.25</v>
      </c>
    </row>
    <row r="298" spans="1:6" x14ac:dyDescent="0.25">
      <c r="A298" t="s">
        <v>389</v>
      </c>
      <c r="B298">
        <v>21</v>
      </c>
      <c r="C298" t="s">
        <v>79</v>
      </c>
      <c r="D298">
        <v>163450</v>
      </c>
      <c r="E298" t="s">
        <v>422</v>
      </c>
      <c r="F298">
        <v>0.26</v>
      </c>
    </row>
    <row r="299" spans="1:6" x14ac:dyDescent="0.25">
      <c r="A299" t="s">
        <v>366</v>
      </c>
      <c r="B299">
        <v>21</v>
      </c>
      <c r="C299" t="s">
        <v>79</v>
      </c>
      <c r="D299">
        <v>187614</v>
      </c>
      <c r="E299" t="s">
        <v>426</v>
      </c>
      <c r="F299">
        <v>0.21</v>
      </c>
    </row>
    <row r="300" spans="1:6" x14ac:dyDescent="0.25">
      <c r="A300" t="s">
        <v>348</v>
      </c>
      <c r="B300">
        <v>18</v>
      </c>
      <c r="C300" t="s">
        <v>15</v>
      </c>
      <c r="D300">
        <v>141452</v>
      </c>
      <c r="E300" t="s">
        <v>425</v>
      </c>
      <c r="F300">
        <v>0.23</v>
      </c>
    </row>
    <row r="301" spans="1:6" x14ac:dyDescent="0.25">
      <c r="A301" t="s">
        <v>244</v>
      </c>
      <c r="B301">
        <v>28</v>
      </c>
      <c r="C301" t="s">
        <v>15</v>
      </c>
      <c r="D301">
        <v>119631</v>
      </c>
      <c r="E301" t="s">
        <v>422</v>
      </c>
      <c r="F301">
        <v>0.27</v>
      </c>
    </row>
    <row r="302" spans="1:6" x14ac:dyDescent="0.25">
      <c r="A302" t="s">
        <v>243</v>
      </c>
      <c r="B302">
        <v>24</v>
      </c>
      <c r="C302" t="s">
        <v>21</v>
      </c>
      <c r="D302">
        <v>188204</v>
      </c>
      <c r="E302" t="s">
        <v>426</v>
      </c>
      <c r="F302">
        <v>0.23</v>
      </c>
    </row>
    <row r="303" spans="1:6" x14ac:dyDescent="0.25">
      <c r="A303" t="s">
        <v>386</v>
      </c>
      <c r="B303">
        <v>24</v>
      </c>
      <c r="C303" t="s">
        <v>17</v>
      </c>
      <c r="D303">
        <v>143841</v>
      </c>
      <c r="E303" t="s">
        <v>425</v>
      </c>
      <c r="F303">
        <v>0.25</v>
      </c>
    </row>
    <row r="304" spans="1:6" x14ac:dyDescent="0.25">
      <c r="A304" t="s">
        <v>390</v>
      </c>
      <c r="B304">
        <v>27</v>
      </c>
      <c r="C304" t="s">
        <v>45</v>
      </c>
      <c r="D304">
        <v>136644</v>
      </c>
      <c r="E304" t="s">
        <v>422</v>
      </c>
      <c r="F304">
        <v>0.27</v>
      </c>
    </row>
    <row r="305" spans="1:6" x14ac:dyDescent="0.25">
      <c r="A305" t="s">
        <v>47</v>
      </c>
      <c r="B305">
        <v>25</v>
      </c>
      <c r="C305" t="s">
        <v>72</v>
      </c>
      <c r="D305">
        <v>151411</v>
      </c>
      <c r="E305" t="s">
        <v>424</v>
      </c>
      <c r="F305">
        <v>0.22</v>
      </c>
    </row>
    <row r="306" spans="1:6" x14ac:dyDescent="0.25">
      <c r="A306" t="s">
        <v>64</v>
      </c>
      <c r="B306">
        <v>23</v>
      </c>
      <c r="C306" t="s">
        <v>36</v>
      </c>
      <c r="D306">
        <v>151387</v>
      </c>
      <c r="E306" t="s">
        <v>423</v>
      </c>
      <c r="F306">
        <v>0.28000000000000003</v>
      </c>
    </row>
    <row r="307" spans="1:6" x14ac:dyDescent="0.25">
      <c r="A307" t="s">
        <v>67</v>
      </c>
      <c r="B307">
        <v>27</v>
      </c>
      <c r="C307" t="s">
        <v>19</v>
      </c>
      <c r="D307">
        <v>138991</v>
      </c>
      <c r="E307" t="s">
        <v>426</v>
      </c>
      <c r="F307">
        <v>0.22</v>
      </c>
    </row>
    <row r="308" spans="1:6" x14ac:dyDescent="0.25">
      <c r="A308" t="s">
        <v>391</v>
      </c>
      <c r="B308">
        <v>19</v>
      </c>
      <c r="C308" t="s">
        <v>50</v>
      </c>
      <c r="D308">
        <v>172199</v>
      </c>
      <c r="E308" t="s">
        <v>424</v>
      </c>
      <c r="F308">
        <v>0.23</v>
      </c>
    </row>
    <row r="309" spans="1:6" x14ac:dyDescent="0.25">
      <c r="A309" t="s">
        <v>254</v>
      </c>
      <c r="B309">
        <v>24</v>
      </c>
      <c r="C309" t="s">
        <v>15</v>
      </c>
      <c r="D309">
        <v>144441</v>
      </c>
      <c r="E309" t="s">
        <v>423</v>
      </c>
      <c r="F309">
        <v>0.25</v>
      </c>
    </row>
    <row r="310" spans="1:6" x14ac:dyDescent="0.25">
      <c r="A310" t="s">
        <v>339</v>
      </c>
      <c r="B310">
        <v>21</v>
      </c>
      <c r="C310" t="s">
        <v>21</v>
      </c>
      <c r="D310">
        <v>167570</v>
      </c>
      <c r="E310" t="s">
        <v>426</v>
      </c>
      <c r="F310">
        <v>0.21</v>
      </c>
    </row>
    <row r="311" spans="1:6" x14ac:dyDescent="0.25">
      <c r="A311" t="s">
        <v>348</v>
      </c>
      <c r="B311">
        <v>23</v>
      </c>
      <c r="C311" t="s">
        <v>15</v>
      </c>
      <c r="D311">
        <v>145605</v>
      </c>
      <c r="E311" t="s">
        <v>426</v>
      </c>
      <c r="F311">
        <v>0.23</v>
      </c>
    </row>
    <row r="312" spans="1:6" x14ac:dyDescent="0.25">
      <c r="A312" t="s">
        <v>186</v>
      </c>
      <c r="B312">
        <v>29</v>
      </c>
      <c r="C312" t="s">
        <v>23</v>
      </c>
      <c r="D312">
        <v>125852</v>
      </c>
      <c r="E312" t="s">
        <v>422</v>
      </c>
      <c r="F312">
        <v>0.25</v>
      </c>
    </row>
    <row r="313" spans="1:6" x14ac:dyDescent="0.25">
      <c r="A313" t="s">
        <v>100</v>
      </c>
      <c r="B313">
        <v>24</v>
      </c>
      <c r="C313" t="s">
        <v>33</v>
      </c>
      <c r="D313">
        <v>158509</v>
      </c>
      <c r="E313" t="s">
        <v>422</v>
      </c>
      <c r="F313">
        <v>0.27</v>
      </c>
    </row>
    <row r="314" spans="1:6" x14ac:dyDescent="0.25">
      <c r="A314" t="s">
        <v>189</v>
      </c>
      <c r="B314">
        <v>19</v>
      </c>
      <c r="C314" t="s">
        <v>23</v>
      </c>
      <c r="D314">
        <v>178762</v>
      </c>
      <c r="E314" t="s">
        <v>426</v>
      </c>
      <c r="F314">
        <v>0.23</v>
      </c>
    </row>
    <row r="315" spans="1:6" x14ac:dyDescent="0.25">
      <c r="A315" t="s">
        <v>388</v>
      </c>
      <c r="B315">
        <v>19</v>
      </c>
      <c r="C315" t="s">
        <v>23</v>
      </c>
      <c r="D315">
        <v>190167</v>
      </c>
      <c r="E315" t="s">
        <v>425</v>
      </c>
      <c r="F315">
        <v>0.23</v>
      </c>
    </row>
    <row r="316" spans="1:6" x14ac:dyDescent="0.25">
      <c r="A316" t="s">
        <v>218</v>
      </c>
      <c r="B316">
        <v>18</v>
      </c>
      <c r="C316" t="s">
        <v>21</v>
      </c>
      <c r="D316">
        <v>131791</v>
      </c>
      <c r="E316" t="s">
        <v>425</v>
      </c>
      <c r="F316">
        <v>0.23</v>
      </c>
    </row>
    <row r="317" spans="1:6" x14ac:dyDescent="0.25">
      <c r="A317" t="s">
        <v>392</v>
      </c>
      <c r="B317">
        <v>20</v>
      </c>
      <c r="C317" t="s">
        <v>33</v>
      </c>
      <c r="D317">
        <v>151550</v>
      </c>
      <c r="E317" t="s">
        <v>422</v>
      </c>
      <c r="F317">
        <v>0.27</v>
      </c>
    </row>
    <row r="318" spans="1:6" x14ac:dyDescent="0.25">
      <c r="A318" t="s">
        <v>315</v>
      </c>
      <c r="B318">
        <v>25</v>
      </c>
      <c r="C318" t="s">
        <v>79</v>
      </c>
      <c r="D318">
        <v>114024</v>
      </c>
      <c r="E318" t="s">
        <v>426</v>
      </c>
      <c r="F318">
        <v>0.22</v>
      </c>
    </row>
    <row r="319" spans="1:6" x14ac:dyDescent="0.25">
      <c r="A319" t="s">
        <v>257</v>
      </c>
      <c r="B319">
        <v>29</v>
      </c>
      <c r="C319" t="s">
        <v>36</v>
      </c>
      <c r="D319">
        <v>196801</v>
      </c>
      <c r="E319" t="s">
        <v>426</v>
      </c>
      <c r="F319">
        <v>0.21</v>
      </c>
    </row>
    <row r="320" spans="1:6" x14ac:dyDescent="0.25">
      <c r="A320" t="s">
        <v>393</v>
      </c>
      <c r="B320">
        <v>26</v>
      </c>
      <c r="C320" t="s">
        <v>33</v>
      </c>
      <c r="D320">
        <v>164717</v>
      </c>
      <c r="E320" t="s">
        <v>425</v>
      </c>
      <c r="F320">
        <v>0.23</v>
      </c>
    </row>
    <row r="321" spans="1:6" x14ac:dyDescent="0.25">
      <c r="A321" t="s">
        <v>139</v>
      </c>
      <c r="B321">
        <v>30</v>
      </c>
      <c r="C321" t="s">
        <v>27</v>
      </c>
      <c r="D321">
        <v>134958</v>
      </c>
      <c r="E321" t="s">
        <v>426</v>
      </c>
      <c r="F321">
        <v>0.21</v>
      </c>
    </row>
    <row r="322" spans="1:6" x14ac:dyDescent="0.25">
      <c r="A322" t="s">
        <v>257</v>
      </c>
      <c r="B322">
        <v>27</v>
      </c>
      <c r="C322" t="s">
        <v>36</v>
      </c>
      <c r="D322">
        <v>181100</v>
      </c>
      <c r="E322" t="s">
        <v>425</v>
      </c>
      <c r="F322">
        <v>0.25</v>
      </c>
    </row>
    <row r="323" spans="1:6" x14ac:dyDescent="0.25">
      <c r="A323" t="s">
        <v>69</v>
      </c>
      <c r="B323">
        <v>27</v>
      </c>
      <c r="C323" t="s">
        <v>45</v>
      </c>
      <c r="D323">
        <v>153867</v>
      </c>
      <c r="E323" t="s">
        <v>422</v>
      </c>
      <c r="F323">
        <v>0.25</v>
      </c>
    </row>
    <row r="324" spans="1:6" x14ac:dyDescent="0.25">
      <c r="A324" t="s">
        <v>69</v>
      </c>
      <c r="B324">
        <v>23</v>
      </c>
      <c r="C324" t="s">
        <v>21</v>
      </c>
      <c r="D324">
        <v>114080</v>
      </c>
      <c r="E324" t="s">
        <v>422</v>
      </c>
      <c r="F324">
        <v>0.25</v>
      </c>
    </row>
    <row r="325" spans="1:6" x14ac:dyDescent="0.25">
      <c r="A325" t="s">
        <v>319</v>
      </c>
      <c r="B325">
        <v>28</v>
      </c>
      <c r="C325" t="s">
        <v>45</v>
      </c>
      <c r="D325">
        <v>195032</v>
      </c>
      <c r="E325" t="s">
        <v>422</v>
      </c>
      <c r="F325">
        <v>0.25</v>
      </c>
    </row>
    <row r="326" spans="1:6" x14ac:dyDescent="0.25">
      <c r="A326" t="s">
        <v>387</v>
      </c>
      <c r="B326">
        <v>27</v>
      </c>
      <c r="C326" t="s">
        <v>45</v>
      </c>
      <c r="D326">
        <v>170631</v>
      </c>
      <c r="E326" t="s">
        <v>426</v>
      </c>
      <c r="F326">
        <v>0.22</v>
      </c>
    </row>
    <row r="327" spans="1:6" x14ac:dyDescent="0.25">
      <c r="A327" t="s">
        <v>341</v>
      </c>
      <c r="B327">
        <v>19</v>
      </c>
      <c r="C327" t="s">
        <v>62</v>
      </c>
      <c r="D327">
        <v>148670</v>
      </c>
      <c r="E327" t="s">
        <v>424</v>
      </c>
      <c r="F327">
        <v>0.22</v>
      </c>
    </row>
    <row r="328" spans="1:6" x14ac:dyDescent="0.25">
      <c r="A328" t="s">
        <v>393</v>
      </c>
      <c r="B328">
        <v>27</v>
      </c>
      <c r="C328" t="s">
        <v>50</v>
      </c>
      <c r="D328">
        <v>105866</v>
      </c>
      <c r="E328" t="s">
        <v>425</v>
      </c>
      <c r="F328">
        <v>0.24</v>
      </c>
    </row>
    <row r="329" spans="1:6" x14ac:dyDescent="0.25">
      <c r="A329" t="s">
        <v>394</v>
      </c>
      <c r="B329">
        <v>22</v>
      </c>
      <c r="C329" t="s">
        <v>25</v>
      </c>
      <c r="D329">
        <v>172929</v>
      </c>
      <c r="E329" t="s">
        <v>425</v>
      </c>
      <c r="F329">
        <v>0.25</v>
      </c>
    </row>
    <row r="330" spans="1:6" x14ac:dyDescent="0.25">
      <c r="A330" t="s">
        <v>90</v>
      </c>
      <c r="B330">
        <v>28</v>
      </c>
      <c r="C330" t="s">
        <v>50</v>
      </c>
      <c r="D330">
        <v>126546</v>
      </c>
      <c r="E330" t="s">
        <v>424</v>
      </c>
      <c r="F330">
        <v>0.22</v>
      </c>
    </row>
    <row r="331" spans="1:6" x14ac:dyDescent="0.25">
      <c r="A331" t="s">
        <v>54</v>
      </c>
      <c r="B331">
        <v>18</v>
      </c>
      <c r="C331" t="s">
        <v>31</v>
      </c>
      <c r="D331">
        <v>178956</v>
      </c>
      <c r="E331" t="s">
        <v>424</v>
      </c>
      <c r="F331">
        <v>0.22</v>
      </c>
    </row>
    <row r="332" spans="1:6" x14ac:dyDescent="0.25">
      <c r="A332" t="s">
        <v>342</v>
      </c>
      <c r="B332">
        <v>30</v>
      </c>
      <c r="C332" t="s">
        <v>72</v>
      </c>
      <c r="D332">
        <v>128804</v>
      </c>
      <c r="E332" t="s">
        <v>423</v>
      </c>
      <c r="F332">
        <v>0.28000000000000003</v>
      </c>
    </row>
    <row r="333" spans="1:6" x14ac:dyDescent="0.25">
      <c r="A333" t="s">
        <v>165</v>
      </c>
      <c r="B333">
        <v>20</v>
      </c>
      <c r="C333" t="s">
        <v>19</v>
      </c>
      <c r="D333">
        <v>155868</v>
      </c>
      <c r="E333" t="s">
        <v>424</v>
      </c>
      <c r="F333">
        <v>0.23</v>
      </c>
    </row>
    <row r="334" spans="1:6" x14ac:dyDescent="0.25">
      <c r="A334" t="s">
        <v>65</v>
      </c>
      <c r="B334">
        <v>23</v>
      </c>
      <c r="C334" t="s">
        <v>19</v>
      </c>
      <c r="D334">
        <v>165208</v>
      </c>
      <c r="E334" t="s">
        <v>422</v>
      </c>
      <c r="F334">
        <v>0.27</v>
      </c>
    </row>
    <row r="335" spans="1:6" x14ac:dyDescent="0.25">
      <c r="A335" t="s">
        <v>283</v>
      </c>
      <c r="B335">
        <v>27</v>
      </c>
      <c r="C335" t="s">
        <v>17</v>
      </c>
      <c r="D335">
        <v>100064</v>
      </c>
      <c r="E335" t="s">
        <v>425</v>
      </c>
      <c r="F335">
        <v>0.23</v>
      </c>
    </row>
    <row r="336" spans="1:6" x14ac:dyDescent="0.25">
      <c r="A336" t="s">
        <v>395</v>
      </c>
      <c r="B336">
        <v>28</v>
      </c>
      <c r="C336" t="s">
        <v>45</v>
      </c>
      <c r="D336">
        <v>125016</v>
      </c>
      <c r="E336" t="s">
        <v>422</v>
      </c>
      <c r="F336">
        <v>0.26</v>
      </c>
    </row>
    <row r="337" spans="1:6" x14ac:dyDescent="0.25">
      <c r="A337" t="s">
        <v>163</v>
      </c>
      <c r="B337">
        <v>18</v>
      </c>
      <c r="C337" t="s">
        <v>19</v>
      </c>
      <c r="D337">
        <v>134453</v>
      </c>
      <c r="E337" t="s">
        <v>426</v>
      </c>
      <c r="F337">
        <v>0.21</v>
      </c>
    </row>
    <row r="338" spans="1:6" x14ac:dyDescent="0.25">
      <c r="A338" t="s">
        <v>306</v>
      </c>
      <c r="B338">
        <v>23</v>
      </c>
      <c r="C338" t="s">
        <v>21</v>
      </c>
      <c r="D338">
        <v>104337</v>
      </c>
      <c r="E338" t="s">
        <v>422</v>
      </c>
      <c r="F338">
        <v>0.28000000000000003</v>
      </c>
    </row>
    <row r="339" spans="1:6" x14ac:dyDescent="0.25">
      <c r="A339" t="s">
        <v>257</v>
      </c>
      <c r="B339">
        <v>28</v>
      </c>
      <c r="C339" t="s">
        <v>23</v>
      </c>
      <c r="D339">
        <v>135719</v>
      </c>
      <c r="E339" t="s">
        <v>425</v>
      </c>
      <c r="F339">
        <v>0.25</v>
      </c>
    </row>
    <row r="340" spans="1:6" x14ac:dyDescent="0.25">
      <c r="A340" t="s">
        <v>241</v>
      </c>
      <c r="B340">
        <v>24</v>
      </c>
      <c r="C340" t="s">
        <v>45</v>
      </c>
      <c r="D340">
        <v>104403</v>
      </c>
      <c r="E340" t="s">
        <v>426</v>
      </c>
      <c r="F340">
        <v>0.21</v>
      </c>
    </row>
    <row r="341" spans="1:6" x14ac:dyDescent="0.25">
      <c r="A341" t="s">
        <v>396</v>
      </c>
      <c r="B341">
        <v>21</v>
      </c>
      <c r="C341" t="s">
        <v>25</v>
      </c>
      <c r="D341">
        <v>167317</v>
      </c>
      <c r="E341" t="s">
        <v>425</v>
      </c>
      <c r="F341">
        <v>0.24</v>
      </c>
    </row>
    <row r="342" spans="1:6" x14ac:dyDescent="0.25">
      <c r="A342" t="s">
        <v>300</v>
      </c>
      <c r="B342">
        <v>28</v>
      </c>
      <c r="C342" t="s">
        <v>27</v>
      </c>
      <c r="D342">
        <v>164234</v>
      </c>
      <c r="E342" t="s">
        <v>424</v>
      </c>
      <c r="F342">
        <v>0.22</v>
      </c>
    </row>
    <row r="343" spans="1:6" x14ac:dyDescent="0.25">
      <c r="A343" t="s">
        <v>73</v>
      </c>
      <c r="B343">
        <v>20</v>
      </c>
      <c r="C343" t="s">
        <v>19</v>
      </c>
      <c r="D343">
        <v>133864</v>
      </c>
      <c r="E343" t="s">
        <v>422</v>
      </c>
      <c r="F343">
        <v>0.25</v>
      </c>
    </row>
    <row r="344" spans="1:6" x14ac:dyDescent="0.25">
      <c r="A344" t="s">
        <v>359</v>
      </c>
      <c r="B344">
        <v>18</v>
      </c>
      <c r="C344" t="s">
        <v>79</v>
      </c>
      <c r="D344">
        <v>106590</v>
      </c>
      <c r="E344" t="s">
        <v>425</v>
      </c>
      <c r="F344">
        <v>0.24</v>
      </c>
    </row>
    <row r="345" spans="1:6" x14ac:dyDescent="0.25">
      <c r="A345" t="s">
        <v>85</v>
      </c>
      <c r="B345">
        <v>25</v>
      </c>
      <c r="C345" t="s">
        <v>27</v>
      </c>
      <c r="D345">
        <v>165704</v>
      </c>
      <c r="E345" t="s">
        <v>422</v>
      </c>
      <c r="F345">
        <v>0.26</v>
      </c>
    </row>
    <row r="346" spans="1:6" x14ac:dyDescent="0.25">
      <c r="A346" t="s">
        <v>249</v>
      </c>
      <c r="B346">
        <v>20</v>
      </c>
      <c r="C346" t="s">
        <v>25</v>
      </c>
      <c r="D346">
        <v>161840</v>
      </c>
      <c r="E346" t="s">
        <v>423</v>
      </c>
      <c r="F346">
        <v>0.28000000000000003</v>
      </c>
    </row>
    <row r="347" spans="1:6" x14ac:dyDescent="0.25">
      <c r="A347" t="s">
        <v>16</v>
      </c>
      <c r="B347">
        <v>21</v>
      </c>
      <c r="C347" t="s">
        <v>25</v>
      </c>
      <c r="D347">
        <v>132725</v>
      </c>
      <c r="E347" t="s">
        <v>423</v>
      </c>
      <c r="F347">
        <v>0.28000000000000003</v>
      </c>
    </row>
    <row r="348" spans="1:6" x14ac:dyDescent="0.25">
      <c r="A348" t="s">
        <v>300</v>
      </c>
      <c r="B348">
        <v>30</v>
      </c>
      <c r="C348" t="s">
        <v>79</v>
      </c>
      <c r="D348">
        <v>134648</v>
      </c>
      <c r="E348" t="s">
        <v>424</v>
      </c>
      <c r="F348">
        <v>0.22</v>
      </c>
    </row>
    <row r="349" spans="1:6" x14ac:dyDescent="0.25">
      <c r="A349" t="s">
        <v>274</v>
      </c>
      <c r="B349">
        <v>29</v>
      </c>
      <c r="C349" t="s">
        <v>17</v>
      </c>
      <c r="D349">
        <v>184622</v>
      </c>
      <c r="E349" t="s">
        <v>425</v>
      </c>
      <c r="F349">
        <v>0.25</v>
      </c>
    </row>
    <row r="350" spans="1:6" x14ac:dyDescent="0.25">
      <c r="A350" t="s">
        <v>254</v>
      </c>
      <c r="B350">
        <v>27</v>
      </c>
      <c r="C350" t="s">
        <v>17</v>
      </c>
      <c r="D350">
        <v>108021</v>
      </c>
      <c r="E350" t="s">
        <v>426</v>
      </c>
      <c r="F350">
        <v>0.22</v>
      </c>
    </row>
    <row r="351" spans="1:6" x14ac:dyDescent="0.25">
      <c r="A351" t="s">
        <v>59</v>
      </c>
      <c r="B351">
        <v>25</v>
      </c>
      <c r="C351" t="s">
        <v>19</v>
      </c>
      <c r="D351">
        <v>122393</v>
      </c>
      <c r="E351" t="s">
        <v>423</v>
      </c>
      <c r="F351">
        <v>0.26</v>
      </c>
    </row>
    <row r="352" spans="1:6" x14ac:dyDescent="0.25">
      <c r="A352" t="s">
        <v>161</v>
      </c>
      <c r="B352">
        <v>30</v>
      </c>
      <c r="C352" t="s">
        <v>62</v>
      </c>
      <c r="D352">
        <v>138038</v>
      </c>
      <c r="E352" t="s">
        <v>425</v>
      </c>
      <c r="F352">
        <v>0.23</v>
      </c>
    </row>
    <row r="353" spans="1:6" x14ac:dyDescent="0.25">
      <c r="A353" t="s">
        <v>397</v>
      </c>
      <c r="B353">
        <v>23</v>
      </c>
      <c r="C353" t="s">
        <v>27</v>
      </c>
      <c r="D353">
        <v>196771</v>
      </c>
      <c r="E353" t="s">
        <v>423</v>
      </c>
      <c r="F353">
        <v>0.27</v>
      </c>
    </row>
    <row r="354" spans="1:6" x14ac:dyDescent="0.25">
      <c r="A354" t="s">
        <v>81</v>
      </c>
      <c r="B354">
        <v>21</v>
      </c>
      <c r="C354" t="s">
        <v>23</v>
      </c>
      <c r="D354">
        <v>182862</v>
      </c>
      <c r="E354" t="s">
        <v>426</v>
      </c>
      <c r="F354">
        <v>0.21</v>
      </c>
    </row>
    <row r="355" spans="1:6" x14ac:dyDescent="0.25">
      <c r="A355" t="s">
        <v>398</v>
      </c>
      <c r="B355">
        <v>30</v>
      </c>
      <c r="C355" t="s">
        <v>33</v>
      </c>
      <c r="D355">
        <v>140424</v>
      </c>
      <c r="E355" t="s">
        <v>425</v>
      </c>
      <c r="F355">
        <v>0.25</v>
      </c>
    </row>
    <row r="356" spans="1:6" x14ac:dyDescent="0.25">
      <c r="A356" t="s">
        <v>65</v>
      </c>
      <c r="B356">
        <v>24</v>
      </c>
      <c r="C356" t="s">
        <v>31</v>
      </c>
      <c r="D356">
        <v>169533</v>
      </c>
      <c r="E356" t="s">
        <v>423</v>
      </c>
      <c r="F356">
        <v>0.26</v>
      </c>
    </row>
    <row r="357" spans="1:6" x14ac:dyDescent="0.25">
      <c r="A357" t="s">
        <v>291</v>
      </c>
      <c r="B357">
        <v>19</v>
      </c>
      <c r="C357" t="s">
        <v>72</v>
      </c>
      <c r="D357">
        <v>168926</v>
      </c>
      <c r="E357" t="s">
        <v>422</v>
      </c>
      <c r="F357">
        <v>0.28000000000000003</v>
      </c>
    </row>
    <row r="358" spans="1:6" x14ac:dyDescent="0.25">
      <c r="A358" t="s">
        <v>68</v>
      </c>
      <c r="B358">
        <v>30</v>
      </c>
      <c r="C358" t="s">
        <v>33</v>
      </c>
      <c r="D358">
        <v>134384</v>
      </c>
      <c r="E358" t="s">
        <v>426</v>
      </c>
      <c r="F358">
        <v>0.23</v>
      </c>
    </row>
    <row r="359" spans="1:6" x14ac:dyDescent="0.25">
      <c r="A359" t="s">
        <v>83</v>
      </c>
      <c r="B359">
        <v>24</v>
      </c>
      <c r="C359" t="s">
        <v>23</v>
      </c>
      <c r="D359">
        <v>176069</v>
      </c>
      <c r="E359" t="s">
        <v>425</v>
      </c>
      <c r="F359">
        <v>0.24</v>
      </c>
    </row>
    <row r="360" spans="1:6" x14ac:dyDescent="0.25">
      <c r="A360" t="s">
        <v>372</v>
      </c>
      <c r="B360">
        <v>30</v>
      </c>
      <c r="C360" t="s">
        <v>72</v>
      </c>
      <c r="D360">
        <v>148361</v>
      </c>
      <c r="E360" t="s">
        <v>425</v>
      </c>
      <c r="F360">
        <v>0.23</v>
      </c>
    </row>
    <row r="361" spans="1:6" x14ac:dyDescent="0.25">
      <c r="A361" t="s">
        <v>22</v>
      </c>
      <c r="B361">
        <v>19</v>
      </c>
      <c r="C361" t="s">
        <v>27</v>
      </c>
      <c r="D361">
        <v>185322</v>
      </c>
      <c r="E361" t="s">
        <v>423</v>
      </c>
      <c r="F361">
        <v>0.26</v>
      </c>
    </row>
    <row r="362" spans="1:6" x14ac:dyDescent="0.25">
      <c r="A362" t="s">
        <v>399</v>
      </c>
      <c r="B362">
        <v>26</v>
      </c>
      <c r="C362" t="s">
        <v>79</v>
      </c>
      <c r="D362">
        <v>155487</v>
      </c>
      <c r="E362" t="s">
        <v>424</v>
      </c>
      <c r="F362">
        <v>0.21</v>
      </c>
    </row>
    <row r="363" spans="1:6" x14ac:dyDescent="0.25">
      <c r="A363" t="s">
        <v>249</v>
      </c>
      <c r="B363">
        <v>24</v>
      </c>
      <c r="C363" t="s">
        <v>72</v>
      </c>
      <c r="D363">
        <v>168096</v>
      </c>
      <c r="E363" t="s">
        <v>426</v>
      </c>
      <c r="F363">
        <v>0.23</v>
      </c>
    </row>
    <row r="364" spans="1:6" x14ac:dyDescent="0.25">
      <c r="A364" t="s">
        <v>307</v>
      </c>
      <c r="B364">
        <v>23</v>
      </c>
      <c r="C364" t="s">
        <v>15</v>
      </c>
      <c r="D364">
        <v>188730</v>
      </c>
      <c r="E364" t="s">
        <v>423</v>
      </c>
      <c r="F364">
        <v>0.26</v>
      </c>
    </row>
    <row r="365" spans="1:6" x14ac:dyDescent="0.25">
      <c r="A365" t="s">
        <v>159</v>
      </c>
      <c r="B365">
        <v>23</v>
      </c>
      <c r="C365" t="s">
        <v>27</v>
      </c>
      <c r="D365">
        <v>185652</v>
      </c>
      <c r="E365" t="s">
        <v>422</v>
      </c>
      <c r="F365">
        <v>0.28000000000000003</v>
      </c>
    </row>
    <row r="366" spans="1:6" x14ac:dyDescent="0.25">
      <c r="A366" t="s">
        <v>270</v>
      </c>
      <c r="B366">
        <v>21</v>
      </c>
      <c r="C366" t="s">
        <v>79</v>
      </c>
      <c r="D366">
        <v>169732</v>
      </c>
      <c r="E366" t="s">
        <v>423</v>
      </c>
      <c r="F366">
        <v>0.26</v>
      </c>
    </row>
    <row r="367" spans="1:6" x14ac:dyDescent="0.25">
      <c r="A367" t="s">
        <v>102</v>
      </c>
      <c r="B367">
        <v>24</v>
      </c>
      <c r="C367" t="s">
        <v>31</v>
      </c>
      <c r="D367">
        <v>155233</v>
      </c>
      <c r="E367" t="s">
        <v>423</v>
      </c>
      <c r="F367">
        <v>0.27</v>
      </c>
    </row>
    <row r="368" spans="1:6" x14ac:dyDescent="0.25">
      <c r="A368" t="s">
        <v>375</v>
      </c>
      <c r="B368">
        <v>28</v>
      </c>
      <c r="C368" t="s">
        <v>23</v>
      </c>
      <c r="D368">
        <v>104485</v>
      </c>
      <c r="E368" t="s">
        <v>426</v>
      </c>
      <c r="F368">
        <v>0.21</v>
      </c>
    </row>
    <row r="369" spans="1:6" x14ac:dyDescent="0.25">
      <c r="A369" t="s">
        <v>282</v>
      </c>
      <c r="B369">
        <v>19</v>
      </c>
      <c r="C369" t="s">
        <v>36</v>
      </c>
      <c r="D369">
        <v>125727</v>
      </c>
      <c r="E369" t="s">
        <v>424</v>
      </c>
      <c r="F369">
        <v>0.21</v>
      </c>
    </row>
    <row r="370" spans="1:6" x14ac:dyDescent="0.25">
      <c r="A370" t="s">
        <v>227</v>
      </c>
      <c r="B370">
        <v>24</v>
      </c>
      <c r="C370" t="s">
        <v>17</v>
      </c>
      <c r="D370">
        <v>172337</v>
      </c>
      <c r="E370" t="s">
        <v>426</v>
      </c>
      <c r="F370">
        <v>0.21</v>
      </c>
    </row>
    <row r="371" spans="1:6" x14ac:dyDescent="0.25">
      <c r="A371" t="s">
        <v>381</v>
      </c>
      <c r="B371">
        <v>22</v>
      </c>
      <c r="C371" t="s">
        <v>31</v>
      </c>
      <c r="D371">
        <v>161083</v>
      </c>
      <c r="E371" t="s">
        <v>425</v>
      </c>
      <c r="F371">
        <v>0.23</v>
      </c>
    </row>
    <row r="372" spans="1:6" x14ac:dyDescent="0.25">
      <c r="A372" t="s">
        <v>214</v>
      </c>
      <c r="B372">
        <v>20</v>
      </c>
      <c r="C372" t="s">
        <v>62</v>
      </c>
      <c r="D372">
        <v>135018</v>
      </c>
      <c r="E372" t="s">
        <v>422</v>
      </c>
      <c r="F372">
        <v>0.26</v>
      </c>
    </row>
    <row r="373" spans="1:6" x14ac:dyDescent="0.25">
      <c r="A373" t="s">
        <v>148</v>
      </c>
      <c r="B373">
        <v>24</v>
      </c>
      <c r="C373" t="s">
        <v>27</v>
      </c>
      <c r="D373">
        <v>161001</v>
      </c>
      <c r="E373" t="s">
        <v>425</v>
      </c>
      <c r="F373">
        <v>0.23</v>
      </c>
    </row>
    <row r="374" spans="1:6" x14ac:dyDescent="0.25">
      <c r="A374" t="s">
        <v>29</v>
      </c>
      <c r="B374">
        <v>26</v>
      </c>
      <c r="C374" t="s">
        <v>36</v>
      </c>
      <c r="D374">
        <v>108042</v>
      </c>
      <c r="E374" t="s">
        <v>425</v>
      </c>
      <c r="F374">
        <v>0.24</v>
      </c>
    </row>
    <row r="375" spans="1:6" x14ac:dyDescent="0.25">
      <c r="A375" t="s">
        <v>97</v>
      </c>
      <c r="B375">
        <v>21</v>
      </c>
      <c r="C375" t="s">
        <v>25</v>
      </c>
      <c r="D375">
        <v>198827</v>
      </c>
      <c r="E375" t="s">
        <v>425</v>
      </c>
      <c r="F375">
        <v>0.23</v>
      </c>
    </row>
    <row r="376" spans="1:6" x14ac:dyDescent="0.25">
      <c r="A376" t="s">
        <v>367</v>
      </c>
      <c r="B376">
        <v>27</v>
      </c>
      <c r="C376" t="s">
        <v>27</v>
      </c>
      <c r="D376">
        <v>160419</v>
      </c>
      <c r="E376" t="s">
        <v>425</v>
      </c>
      <c r="F376">
        <v>0.23</v>
      </c>
    </row>
    <row r="377" spans="1:6" x14ac:dyDescent="0.25">
      <c r="A377" t="s">
        <v>400</v>
      </c>
      <c r="B377">
        <v>19</v>
      </c>
      <c r="C377" t="s">
        <v>23</v>
      </c>
      <c r="D377">
        <v>112781</v>
      </c>
      <c r="E377" t="s">
        <v>423</v>
      </c>
      <c r="F377">
        <v>0.27</v>
      </c>
    </row>
    <row r="378" spans="1:6" x14ac:dyDescent="0.25">
      <c r="A378" t="s">
        <v>192</v>
      </c>
      <c r="B378">
        <v>29</v>
      </c>
      <c r="C378" t="s">
        <v>33</v>
      </c>
      <c r="D378">
        <v>166791</v>
      </c>
      <c r="E378" t="s">
        <v>422</v>
      </c>
      <c r="F378">
        <v>0.27</v>
      </c>
    </row>
    <row r="379" spans="1:6" x14ac:dyDescent="0.25">
      <c r="A379" t="s">
        <v>346</v>
      </c>
      <c r="B379">
        <v>28</v>
      </c>
      <c r="C379" t="s">
        <v>36</v>
      </c>
      <c r="D379">
        <v>133614</v>
      </c>
      <c r="E379" t="s">
        <v>425</v>
      </c>
      <c r="F379">
        <v>0.24</v>
      </c>
    </row>
    <row r="380" spans="1:6" x14ac:dyDescent="0.25">
      <c r="A380" t="s">
        <v>340</v>
      </c>
      <c r="B380">
        <v>18</v>
      </c>
      <c r="C380" t="s">
        <v>45</v>
      </c>
      <c r="D380">
        <v>179423</v>
      </c>
      <c r="E380" t="s">
        <v>426</v>
      </c>
      <c r="F380">
        <v>0.21</v>
      </c>
    </row>
    <row r="381" spans="1:6" x14ac:dyDescent="0.25">
      <c r="A381" t="s">
        <v>287</v>
      </c>
      <c r="B381">
        <v>21</v>
      </c>
      <c r="C381" t="s">
        <v>19</v>
      </c>
      <c r="D381">
        <v>160141</v>
      </c>
      <c r="E381" t="s">
        <v>424</v>
      </c>
      <c r="F381">
        <v>0.21</v>
      </c>
    </row>
    <row r="382" spans="1:6" x14ac:dyDescent="0.25">
      <c r="A382" t="s">
        <v>59</v>
      </c>
      <c r="B382">
        <v>24</v>
      </c>
      <c r="C382" t="s">
        <v>72</v>
      </c>
      <c r="D382">
        <v>150194</v>
      </c>
      <c r="E382" t="s">
        <v>422</v>
      </c>
      <c r="F382">
        <v>0.26</v>
      </c>
    </row>
    <row r="383" spans="1:6" x14ac:dyDescent="0.25">
      <c r="A383" t="s">
        <v>294</v>
      </c>
      <c r="B383">
        <v>18</v>
      </c>
      <c r="C383" t="s">
        <v>45</v>
      </c>
      <c r="D383">
        <v>166333</v>
      </c>
      <c r="E383" t="s">
        <v>423</v>
      </c>
      <c r="F383">
        <v>0.27</v>
      </c>
    </row>
    <row r="384" spans="1:6" x14ac:dyDescent="0.25">
      <c r="A384" t="s">
        <v>70</v>
      </c>
      <c r="B384">
        <v>21</v>
      </c>
      <c r="C384" t="s">
        <v>50</v>
      </c>
      <c r="D384">
        <v>132269</v>
      </c>
      <c r="E384" t="s">
        <v>423</v>
      </c>
      <c r="F384">
        <v>0.28000000000000003</v>
      </c>
    </row>
    <row r="385" spans="1:6" x14ac:dyDescent="0.25">
      <c r="A385" t="s">
        <v>171</v>
      </c>
      <c r="B385">
        <v>30</v>
      </c>
      <c r="C385" t="s">
        <v>31</v>
      </c>
      <c r="D385">
        <v>117211</v>
      </c>
      <c r="E385" t="s">
        <v>423</v>
      </c>
      <c r="F385">
        <v>0.26</v>
      </c>
    </row>
    <row r="386" spans="1:6" x14ac:dyDescent="0.25">
      <c r="A386" t="s">
        <v>84</v>
      </c>
      <c r="B386">
        <v>28</v>
      </c>
      <c r="C386" t="s">
        <v>45</v>
      </c>
      <c r="D386">
        <v>170818</v>
      </c>
      <c r="E386" t="s">
        <v>424</v>
      </c>
      <c r="F386">
        <v>0.22</v>
      </c>
    </row>
    <row r="387" spans="1:6" x14ac:dyDescent="0.25">
      <c r="A387" t="s">
        <v>97</v>
      </c>
      <c r="B387">
        <v>22</v>
      </c>
      <c r="C387" t="s">
        <v>31</v>
      </c>
      <c r="D387">
        <v>174715</v>
      </c>
      <c r="E387" t="s">
        <v>426</v>
      </c>
      <c r="F387">
        <v>0.22</v>
      </c>
    </row>
    <row r="388" spans="1:6" x14ac:dyDescent="0.25">
      <c r="A388" t="s">
        <v>297</v>
      </c>
      <c r="B388">
        <v>30</v>
      </c>
      <c r="C388" t="s">
        <v>19</v>
      </c>
      <c r="D388">
        <v>117115</v>
      </c>
      <c r="E388" t="s">
        <v>423</v>
      </c>
      <c r="F388">
        <v>0.28000000000000003</v>
      </c>
    </row>
    <row r="389" spans="1:6" x14ac:dyDescent="0.25">
      <c r="A389" t="s">
        <v>395</v>
      </c>
      <c r="B389">
        <v>20</v>
      </c>
      <c r="C389" t="s">
        <v>72</v>
      </c>
      <c r="D389">
        <v>126576</v>
      </c>
      <c r="E389" t="s">
        <v>422</v>
      </c>
      <c r="F389">
        <v>0.26</v>
      </c>
    </row>
    <row r="390" spans="1:6" x14ac:dyDescent="0.25">
      <c r="A390" t="s">
        <v>401</v>
      </c>
      <c r="B390">
        <v>24</v>
      </c>
      <c r="C390" t="s">
        <v>31</v>
      </c>
      <c r="D390">
        <v>173147</v>
      </c>
      <c r="E390" t="s">
        <v>426</v>
      </c>
      <c r="F390">
        <v>0.23</v>
      </c>
    </row>
    <row r="391" spans="1:6" x14ac:dyDescent="0.25">
      <c r="A391" t="s">
        <v>383</v>
      </c>
      <c r="B391">
        <v>26</v>
      </c>
      <c r="C391" t="s">
        <v>23</v>
      </c>
      <c r="D391">
        <v>122959</v>
      </c>
      <c r="E391" t="s">
        <v>425</v>
      </c>
      <c r="F391">
        <v>0.23</v>
      </c>
    </row>
    <row r="392" spans="1:6" x14ac:dyDescent="0.25">
      <c r="A392" t="s">
        <v>145</v>
      </c>
      <c r="B392">
        <v>30</v>
      </c>
      <c r="C392" t="s">
        <v>27</v>
      </c>
      <c r="D392">
        <v>159949</v>
      </c>
      <c r="E392" t="s">
        <v>426</v>
      </c>
      <c r="F392">
        <v>0.22</v>
      </c>
    </row>
    <row r="393" spans="1:6" x14ac:dyDescent="0.25">
      <c r="A393" t="s">
        <v>117</v>
      </c>
      <c r="B393">
        <v>24</v>
      </c>
      <c r="C393" t="s">
        <v>79</v>
      </c>
      <c r="D393">
        <v>156541</v>
      </c>
      <c r="E393" t="s">
        <v>424</v>
      </c>
      <c r="F393">
        <v>0.22</v>
      </c>
    </row>
    <row r="394" spans="1:6" x14ac:dyDescent="0.25">
      <c r="A394" t="s">
        <v>174</v>
      </c>
      <c r="B394">
        <v>24</v>
      </c>
      <c r="C394" t="s">
        <v>23</v>
      </c>
      <c r="D394">
        <v>144434</v>
      </c>
      <c r="E394" t="s">
        <v>422</v>
      </c>
      <c r="F394">
        <v>0.25</v>
      </c>
    </row>
    <row r="395" spans="1:6" x14ac:dyDescent="0.25">
      <c r="A395" t="s">
        <v>402</v>
      </c>
      <c r="B395">
        <v>19</v>
      </c>
      <c r="C395" t="s">
        <v>25</v>
      </c>
      <c r="D395">
        <v>117767</v>
      </c>
      <c r="E395" t="s">
        <v>424</v>
      </c>
      <c r="F395">
        <v>0.22</v>
      </c>
    </row>
    <row r="396" spans="1:6" x14ac:dyDescent="0.25">
      <c r="A396" t="s">
        <v>403</v>
      </c>
      <c r="B396">
        <v>30</v>
      </c>
      <c r="C396" t="s">
        <v>21</v>
      </c>
      <c r="D396">
        <v>106656</v>
      </c>
      <c r="E396" t="s">
        <v>424</v>
      </c>
      <c r="F396">
        <v>0.23</v>
      </c>
    </row>
    <row r="397" spans="1:6" x14ac:dyDescent="0.25">
      <c r="A397" t="s">
        <v>404</v>
      </c>
      <c r="B397">
        <v>22</v>
      </c>
      <c r="C397" t="s">
        <v>72</v>
      </c>
      <c r="D397">
        <v>105178</v>
      </c>
      <c r="E397" t="s">
        <v>422</v>
      </c>
      <c r="F397">
        <v>0.28000000000000003</v>
      </c>
    </row>
    <row r="398" spans="1:6" x14ac:dyDescent="0.25">
      <c r="A398" t="s">
        <v>212</v>
      </c>
      <c r="B398">
        <v>20</v>
      </c>
      <c r="C398" t="s">
        <v>31</v>
      </c>
      <c r="D398">
        <v>114164</v>
      </c>
      <c r="E398" t="s">
        <v>426</v>
      </c>
      <c r="F398">
        <v>0.22</v>
      </c>
    </row>
    <row r="399" spans="1:6" x14ac:dyDescent="0.25">
      <c r="A399" t="s">
        <v>218</v>
      </c>
      <c r="B399">
        <v>18</v>
      </c>
      <c r="C399" t="s">
        <v>27</v>
      </c>
      <c r="D399">
        <v>157897</v>
      </c>
      <c r="E399" t="s">
        <v>423</v>
      </c>
      <c r="F399">
        <v>0.28000000000000003</v>
      </c>
    </row>
    <row r="400" spans="1:6" x14ac:dyDescent="0.25">
      <c r="A400" t="s">
        <v>151</v>
      </c>
      <c r="B400">
        <v>25</v>
      </c>
      <c r="C400" t="s">
        <v>21</v>
      </c>
      <c r="D400">
        <v>152315</v>
      </c>
      <c r="E400" t="s">
        <v>422</v>
      </c>
      <c r="F400">
        <v>0.27</v>
      </c>
    </row>
    <row r="401" spans="1:6" x14ac:dyDescent="0.25">
      <c r="A401" t="s">
        <v>282</v>
      </c>
      <c r="B401">
        <v>25</v>
      </c>
      <c r="C401" t="s">
        <v>23</v>
      </c>
      <c r="D401">
        <v>164331</v>
      </c>
      <c r="E401" t="s">
        <v>425</v>
      </c>
      <c r="F401">
        <v>0.25</v>
      </c>
    </row>
    <row r="402" spans="1:6" x14ac:dyDescent="0.25">
      <c r="A402" t="s">
        <v>347</v>
      </c>
      <c r="B402">
        <v>28</v>
      </c>
      <c r="C402" t="s">
        <v>50</v>
      </c>
      <c r="D402">
        <v>126562</v>
      </c>
      <c r="E402" t="s">
        <v>422</v>
      </c>
      <c r="F402">
        <v>0.25</v>
      </c>
    </row>
    <row r="403" spans="1:6" x14ac:dyDescent="0.25">
      <c r="A403" t="s">
        <v>171</v>
      </c>
      <c r="B403">
        <v>19</v>
      </c>
      <c r="C403" t="s">
        <v>19</v>
      </c>
      <c r="D403">
        <v>194063</v>
      </c>
      <c r="E403" t="s">
        <v>424</v>
      </c>
      <c r="F403">
        <v>0.21</v>
      </c>
    </row>
    <row r="404" spans="1:6" x14ac:dyDescent="0.25">
      <c r="A404" t="s">
        <v>230</v>
      </c>
      <c r="B404">
        <v>23</v>
      </c>
      <c r="C404" t="s">
        <v>31</v>
      </c>
      <c r="D404">
        <v>162668</v>
      </c>
      <c r="E404" t="s">
        <v>423</v>
      </c>
      <c r="F404">
        <v>0.27</v>
      </c>
    </row>
    <row r="405" spans="1:6" x14ac:dyDescent="0.25">
      <c r="A405" t="s">
        <v>59</v>
      </c>
      <c r="B405">
        <v>30</v>
      </c>
      <c r="C405" t="s">
        <v>27</v>
      </c>
      <c r="D405">
        <v>101693</v>
      </c>
      <c r="E405" t="s">
        <v>422</v>
      </c>
      <c r="F405">
        <v>0.28000000000000003</v>
      </c>
    </row>
    <row r="406" spans="1:6" x14ac:dyDescent="0.25">
      <c r="A406" t="s">
        <v>245</v>
      </c>
      <c r="B406">
        <v>22</v>
      </c>
      <c r="C406" t="s">
        <v>45</v>
      </c>
      <c r="D406">
        <v>154365</v>
      </c>
      <c r="E406" t="s">
        <v>426</v>
      </c>
      <c r="F406">
        <v>0.23</v>
      </c>
    </row>
    <row r="407" spans="1:6" x14ac:dyDescent="0.25">
      <c r="A407" t="s">
        <v>262</v>
      </c>
      <c r="B407">
        <v>24</v>
      </c>
      <c r="C407" t="s">
        <v>72</v>
      </c>
      <c r="D407">
        <v>153973</v>
      </c>
      <c r="E407" t="s">
        <v>422</v>
      </c>
      <c r="F407">
        <v>0.27</v>
      </c>
    </row>
    <row r="408" spans="1:6" x14ac:dyDescent="0.25">
      <c r="A408" t="s">
        <v>339</v>
      </c>
      <c r="B408">
        <v>21</v>
      </c>
      <c r="C408" t="s">
        <v>15</v>
      </c>
      <c r="D408">
        <v>160780</v>
      </c>
      <c r="E408" t="s">
        <v>422</v>
      </c>
      <c r="F408">
        <v>0.25</v>
      </c>
    </row>
    <row r="409" spans="1:6" x14ac:dyDescent="0.25">
      <c r="A409" t="s">
        <v>384</v>
      </c>
      <c r="B409">
        <v>26</v>
      </c>
      <c r="C409" t="s">
        <v>50</v>
      </c>
      <c r="D409">
        <v>151204</v>
      </c>
      <c r="E409" t="s">
        <v>425</v>
      </c>
      <c r="F409">
        <v>0.23</v>
      </c>
    </row>
    <row r="410" spans="1:6" x14ac:dyDescent="0.25">
      <c r="A410" t="s">
        <v>159</v>
      </c>
      <c r="B410">
        <v>18</v>
      </c>
      <c r="C410" t="s">
        <v>72</v>
      </c>
      <c r="D410">
        <v>162953</v>
      </c>
      <c r="E410" t="s">
        <v>422</v>
      </c>
      <c r="F410">
        <v>0.28000000000000003</v>
      </c>
    </row>
    <row r="411" spans="1:6" x14ac:dyDescent="0.25">
      <c r="A411" t="s">
        <v>194</v>
      </c>
      <c r="B411">
        <v>20</v>
      </c>
      <c r="C411" t="s">
        <v>25</v>
      </c>
      <c r="D411">
        <v>132633</v>
      </c>
      <c r="E411" t="s">
        <v>424</v>
      </c>
      <c r="F411">
        <v>0.23</v>
      </c>
    </row>
    <row r="412" spans="1:6" x14ac:dyDescent="0.25">
      <c r="A412" t="s">
        <v>153</v>
      </c>
      <c r="B412">
        <v>30</v>
      </c>
      <c r="C412" t="s">
        <v>45</v>
      </c>
      <c r="D412">
        <v>117168</v>
      </c>
      <c r="E412" t="s">
        <v>425</v>
      </c>
      <c r="F412">
        <v>0.23</v>
      </c>
    </row>
    <row r="413" spans="1:6" x14ac:dyDescent="0.25">
      <c r="A413" t="s">
        <v>361</v>
      </c>
      <c r="B413">
        <v>19</v>
      </c>
      <c r="C413" t="s">
        <v>17</v>
      </c>
      <c r="D413">
        <v>145174</v>
      </c>
      <c r="E413" t="s">
        <v>425</v>
      </c>
      <c r="F413">
        <v>0.25</v>
      </c>
    </row>
    <row r="414" spans="1:6" x14ac:dyDescent="0.25">
      <c r="A414" t="s">
        <v>115</v>
      </c>
      <c r="B414">
        <v>18</v>
      </c>
      <c r="C414" t="s">
        <v>50</v>
      </c>
      <c r="D414">
        <v>190279</v>
      </c>
      <c r="E414" t="s">
        <v>424</v>
      </c>
      <c r="F414">
        <v>0.22</v>
      </c>
    </row>
    <row r="415" spans="1:6" x14ac:dyDescent="0.25">
      <c r="A415" t="s">
        <v>251</v>
      </c>
      <c r="B415">
        <v>29</v>
      </c>
      <c r="C415" t="s">
        <v>72</v>
      </c>
      <c r="D415">
        <v>129337</v>
      </c>
      <c r="E415" t="s">
        <v>424</v>
      </c>
      <c r="F415">
        <v>0.23</v>
      </c>
    </row>
    <row r="416" spans="1:6" x14ac:dyDescent="0.25">
      <c r="A416" t="s">
        <v>117</v>
      </c>
      <c r="B416">
        <v>30</v>
      </c>
      <c r="C416" t="s">
        <v>50</v>
      </c>
      <c r="D416">
        <v>174615</v>
      </c>
      <c r="E416" t="s">
        <v>422</v>
      </c>
      <c r="F416">
        <v>0.26</v>
      </c>
    </row>
    <row r="417" spans="1:6" x14ac:dyDescent="0.25">
      <c r="A417" t="s">
        <v>181</v>
      </c>
      <c r="B417">
        <v>27</v>
      </c>
      <c r="C417" t="s">
        <v>27</v>
      </c>
      <c r="D417">
        <v>146882</v>
      </c>
      <c r="E417" t="s">
        <v>424</v>
      </c>
      <c r="F417">
        <v>0.23</v>
      </c>
    </row>
    <row r="418" spans="1:6" x14ac:dyDescent="0.25">
      <c r="A418" t="s">
        <v>245</v>
      </c>
      <c r="B418">
        <v>28</v>
      </c>
      <c r="C418" t="s">
        <v>62</v>
      </c>
      <c r="D418">
        <v>125878</v>
      </c>
      <c r="E418" t="s">
        <v>425</v>
      </c>
      <c r="F418">
        <v>0.24</v>
      </c>
    </row>
    <row r="419" spans="1:6" x14ac:dyDescent="0.25">
      <c r="A419" t="s">
        <v>303</v>
      </c>
      <c r="B419">
        <v>26</v>
      </c>
      <c r="C419" t="s">
        <v>45</v>
      </c>
      <c r="D419">
        <v>139404</v>
      </c>
      <c r="E419" t="s">
        <v>424</v>
      </c>
      <c r="F419">
        <v>0.22</v>
      </c>
    </row>
    <row r="420" spans="1:6" x14ac:dyDescent="0.25">
      <c r="A420" t="s">
        <v>125</v>
      </c>
      <c r="B420">
        <v>25</v>
      </c>
      <c r="C420" t="s">
        <v>15</v>
      </c>
      <c r="D420">
        <v>120356</v>
      </c>
      <c r="E420" t="s">
        <v>424</v>
      </c>
      <c r="F420">
        <v>0.22</v>
      </c>
    </row>
    <row r="421" spans="1:6" x14ac:dyDescent="0.25">
      <c r="A421" t="s">
        <v>405</v>
      </c>
      <c r="B421">
        <v>28</v>
      </c>
      <c r="C421" t="s">
        <v>31</v>
      </c>
      <c r="D421">
        <v>151785</v>
      </c>
      <c r="E421" t="s">
        <v>424</v>
      </c>
      <c r="F421">
        <v>0.21</v>
      </c>
    </row>
    <row r="422" spans="1:6" x14ac:dyDescent="0.25">
      <c r="A422" t="s">
        <v>92</v>
      </c>
      <c r="B422">
        <v>30</v>
      </c>
      <c r="C422" t="s">
        <v>62</v>
      </c>
      <c r="D422">
        <v>111623</v>
      </c>
      <c r="E422" t="s">
        <v>423</v>
      </c>
      <c r="F422">
        <v>0.25</v>
      </c>
    </row>
    <row r="423" spans="1:6" x14ac:dyDescent="0.25">
      <c r="A423" t="s">
        <v>176</v>
      </c>
      <c r="B423">
        <v>22</v>
      </c>
      <c r="C423" t="s">
        <v>72</v>
      </c>
      <c r="D423">
        <v>159482</v>
      </c>
      <c r="E423" t="s">
        <v>424</v>
      </c>
      <c r="F423">
        <v>0.23</v>
      </c>
    </row>
    <row r="424" spans="1:6" x14ac:dyDescent="0.25">
      <c r="A424" t="s">
        <v>250</v>
      </c>
      <c r="B424">
        <v>21</v>
      </c>
      <c r="C424" t="s">
        <v>36</v>
      </c>
      <c r="D424">
        <v>111987</v>
      </c>
      <c r="E424" t="s">
        <v>423</v>
      </c>
      <c r="F424">
        <v>0.26</v>
      </c>
    </row>
    <row r="425" spans="1:6" x14ac:dyDescent="0.25">
      <c r="A425" t="s">
        <v>37</v>
      </c>
      <c r="B425">
        <v>19</v>
      </c>
      <c r="C425" t="s">
        <v>27</v>
      </c>
      <c r="D425">
        <v>137224</v>
      </c>
      <c r="E425" t="s">
        <v>424</v>
      </c>
      <c r="F425">
        <v>0.21</v>
      </c>
    </row>
    <row r="426" spans="1:6" x14ac:dyDescent="0.25">
      <c r="A426" t="s">
        <v>379</v>
      </c>
      <c r="B426">
        <v>23</v>
      </c>
      <c r="C426" t="s">
        <v>23</v>
      </c>
      <c r="D426">
        <v>131087</v>
      </c>
      <c r="E426" t="s">
        <v>423</v>
      </c>
      <c r="F426">
        <v>0.26</v>
      </c>
    </row>
    <row r="427" spans="1:6" x14ac:dyDescent="0.25">
      <c r="A427" t="s">
        <v>208</v>
      </c>
      <c r="B427">
        <v>22</v>
      </c>
      <c r="C427" t="s">
        <v>27</v>
      </c>
      <c r="D427">
        <v>160175</v>
      </c>
      <c r="E427" t="s">
        <v>422</v>
      </c>
      <c r="F427">
        <v>0.26</v>
      </c>
    </row>
    <row r="428" spans="1:6" x14ac:dyDescent="0.25">
      <c r="A428" t="s">
        <v>60</v>
      </c>
      <c r="B428">
        <v>19</v>
      </c>
      <c r="C428" t="s">
        <v>62</v>
      </c>
      <c r="D428">
        <v>120198</v>
      </c>
      <c r="E428" t="s">
        <v>425</v>
      </c>
      <c r="F428">
        <v>0.23</v>
      </c>
    </row>
    <row r="429" spans="1:6" x14ac:dyDescent="0.25">
      <c r="A429" t="s">
        <v>241</v>
      </c>
      <c r="B429">
        <v>24</v>
      </c>
      <c r="C429" t="s">
        <v>36</v>
      </c>
      <c r="D429">
        <v>145284</v>
      </c>
      <c r="E429" t="s">
        <v>424</v>
      </c>
      <c r="F429">
        <v>0.23</v>
      </c>
    </row>
    <row r="430" spans="1:6" x14ac:dyDescent="0.25">
      <c r="A430" t="s">
        <v>94</v>
      </c>
      <c r="B430">
        <v>29</v>
      </c>
      <c r="C430" t="s">
        <v>19</v>
      </c>
      <c r="D430">
        <v>139328</v>
      </c>
      <c r="E430" t="s">
        <v>424</v>
      </c>
      <c r="F430">
        <v>0.23</v>
      </c>
    </row>
    <row r="431" spans="1:6" x14ac:dyDescent="0.25">
      <c r="A431" t="s">
        <v>406</v>
      </c>
      <c r="B431">
        <v>26</v>
      </c>
      <c r="C431" t="s">
        <v>45</v>
      </c>
      <c r="D431">
        <v>194383</v>
      </c>
      <c r="E431" t="s">
        <v>424</v>
      </c>
      <c r="F431">
        <v>0.21</v>
      </c>
    </row>
    <row r="432" spans="1:6" x14ac:dyDescent="0.25">
      <c r="A432" t="s">
        <v>176</v>
      </c>
      <c r="B432">
        <v>28</v>
      </c>
      <c r="C432" t="s">
        <v>19</v>
      </c>
      <c r="D432">
        <v>147755</v>
      </c>
      <c r="E432" t="s">
        <v>422</v>
      </c>
      <c r="F432">
        <v>0.28000000000000003</v>
      </c>
    </row>
    <row r="433" spans="1:6" x14ac:dyDescent="0.25">
      <c r="A433" t="s">
        <v>102</v>
      </c>
      <c r="B433">
        <v>27</v>
      </c>
      <c r="C433" t="s">
        <v>15</v>
      </c>
      <c r="D433">
        <v>185484</v>
      </c>
      <c r="E433" t="s">
        <v>424</v>
      </c>
      <c r="F433">
        <v>0.22</v>
      </c>
    </row>
    <row r="434" spans="1:6" x14ac:dyDescent="0.25">
      <c r="A434" t="s">
        <v>301</v>
      </c>
      <c r="B434">
        <v>21</v>
      </c>
      <c r="C434" t="s">
        <v>23</v>
      </c>
      <c r="D434">
        <v>152759</v>
      </c>
      <c r="E434" t="s">
        <v>422</v>
      </c>
      <c r="F434">
        <v>0.26</v>
      </c>
    </row>
    <row r="435" spans="1:6" x14ac:dyDescent="0.25">
      <c r="A435" t="s">
        <v>351</v>
      </c>
      <c r="B435">
        <v>23</v>
      </c>
      <c r="C435" t="s">
        <v>62</v>
      </c>
      <c r="D435">
        <v>166033</v>
      </c>
      <c r="E435" t="s">
        <v>424</v>
      </c>
      <c r="F435">
        <v>0.21</v>
      </c>
    </row>
    <row r="436" spans="1:6" x14ac:dyDescent="0.25">
      <c r="A436" t="s">
        <v>310</v>
      </c>
      <c r="B436">
        <v>19</v>
      </c>
      <c r="C436" t="s">
        <v>17</v>
      </c>
      <c r="D436">
        <v>161177</v>
      </c>
      <c r="E436" t="s">
        <v>424</v>
      </c>
      <c r="F436">
        <v>0.22</v>
      </c>
    </row>
    <row r="437" spans="1:6" x14ac:dyDescent="0.25">
      <c r="A437" t="s">
        <v>198</v>
      </c>
      <c r="B437">
        <v>21</v>
      </c>
      <c r="C437" t="s">
        <v>79</v>
      </c>
      <c r="D437">
        <v>176431</v>
      </c>
      <c r="E437" t="s">
        <v>423</v>
      </c>
      <c r="F437">
        <v>0.28000000000000003</v>
      </c>
    </row>
    <row r="438" spans="1:6" x14ac:dyDescent="0.25">
      <c r="A438" t="s">
        <v>264</v>
      </c>
      <c r="B438">
        <v>23</v>
      </c>
      <c r="C438" t="s">
        <v>15</v>
      </c>
      <c r="D438">
        <v>167384</v>
      </c>
      <c r="E438" t="s">
        <v>423</v>
      </c>
      <c r="F438">
        <v>0.26</v>
      </c>
    </row>
    <row r="439" spans="1:6" x14ac:dyDescent="0.25">
      <c r="A439" t="s">
        <v>248</v>
      </c>
      <c r="B439">
        <v>27</v>
      </c>
      <c r="C439" t="s">
        <v>15</v>
      </c>
      <c r="D439">
        <v>125958</v>
      </c>
      <c r="E439" t="s">
        <v>423</v>
      </c>
      <c r="F439">
        <v>0.25</v>
      </c>
    </row>
    <row r="440" spans="1:6" x14ac:dyDescent="0.25">
      <c r="A440" t="s">
        <v>298</v>
      </c>
      <c r="B440">
        <v>23</v>
      </c>
      <c r="C440" t="s">
        <v>15</v>
      </c>
      <c r="D440">
        <v>178405</v>
      </c>
      <c r="E440" t="s">
        <v>422</v>
      </c>
      <c r="F440">
        <v>0.26</v>
      </c>
    </row>
    <row r="441" spans="1:6" x14ac:dyDescent="0.25">
      <c r="A441" t="s">
        <v>14</v>
      </c>
      <c r="B441">
        <v>29</v>
      </c>
      <c r="C441" t="s">
        <v>17</v>
      </c>
      <c r="D441">
        <v>135879</v>
      </c>
      <c r="E441" t="s">
        <v>425</v>
      </c>
      <c r="F441">
        <v>0.25</v>
      </c>
    </row>
    <row r="442" spans="1:6" x14ac:dyDescent="0.25">
      <c r="A442" t="s">
        <v>407</v>
      </c>
      <c r="B442">
        <v>29</v>
      </c>
      <c r="C442" t="s">
        <v>25</v>
      </c>
      <c r="D442">
        <v>129229</v>
      </c>
      <c r="E442" t="s">
        <v>424</v>
      </c>
      <c r="F442">
        <v>0.23</v>
      </c>
    </row>
    <row r="443" spans="1:6" x14ac:dyDescent="0.25">
      <c r="A443" t="s">
        <v>339</v>
      </c>
      <c r="B443">
        <v>29</v>
      </c>
      <c r="C443" t="s">
        <v>25</v>
      </c>
      <c r="D443">
        <v>148827</v>
      </c>
      <c r="E443" t="s">
        <v>426</v>
      </c>
      <c r="F443">
        <v>0.23</v>
      </c>
    </row>
    <row r="444" spans="1:6" x14ac:dyDescent="0.25">
      <c r="A444" t="s">
        <v>244</v>
      </c>
      <c r="B444">
        <v>23</v>
      </c>
      <c r="C444" t="s">
        <v>33</v>
      </c>
      <c r="D444">
        <v>104270</v>
      </c>
      <c r="E444" t="s">
        <v>423</v>
      </c>
      <c r="F444">
        <v>0.26</v>
      </c>
    </row>
    <row r="445" spans="1:6" x14ac:dyDescent="0.25">
      <c r="A445" t="s">
        <v>219</v>
      </c>
      <c r="B445">
        <v>21</v>
      </c>
      <c r="C445" t="s">
        <v>50</v>
      </c>
      <c r="D445">
        <v>164744</v>
      </c>
      <c r="E445" t="s">
        <v>424</v>
      </c>
      <c r="F445">
        <v>0.21</v>
      </c>
    </row>
    <row r="446" spans="1:6" x14ac:dyDescent="0.25">
      <c r="A446" t="s">
        <v>312</v>
      </c>
      <c r="B446">
        <v>18</v>
      </c>
      <c r="C446" t="s">
        <v>23</v>
      </c>
      <c r="D446">
        <v>114322</v>
      </c>
      <c r="E446" t="s">
        <v>422</v>
      </c>
      <c r="F446">
        <v>0.27</v>
      </c>
    </row>
    <row r="447" spans="1:6" x14ac:dyDescent="0.25">
      <c r="A447" t="s">
        <v>152</v>
      </c>
      <c r="B447">
        <v>27</v>
      </c>
      <c r="C447" t="s">
        <v>19</v>
      </c>
      <c r="D447">
        <v>122559</v>
      </c>
      <c r="E447" t="s">
        <v>424</v>
      </c>
      <c r="F447">
        <v>0.23</v>
      </c>
    </row>
    <row r="448" spans="1:6" x14ac:dyDescent="0.25">
      <c r="A448" t="s">
        <v>294</v>
      </c>
      <c r="B448">
        <v>20</v>
      </c>
      <c r="C448" t="s">
        <v>25</v>
      </c>
      <c r="D448">
        <v>122391</v>
      </c>
      <c r="E448" t="s">
        <v>424</v>
      </c>
      <c r="F448">
        <v>0.21</v>
      </c>
    </row>
    <row r="449" spans="1:6" x14ac:dyDescent="0.25">
      <c r="A449" t="s">
        <v>408</v>
      </c>
      <c r="B449">
        <v>30</v>
      </c>
      <c r="C449" t="s">
        <v>23</v>
      </c>
      <c r="D449">
        <v>142574</v>
      </c>
      <c r="E449" t="s">
        <v>426</v>
      </c>
      <c r="F449">
        <v>0.21</v>
      </c>
    </row>
    <row r="450" spans="1:6" x14ac:dyDescent="0.25">
      <c r="A450" t="s">
        <v>409</v>
      </c>
      <c r="B450">
        <v>23</v>
      </c>
      <c r="C450" t="s">
        <v>36</v>
      </c>
      <c r="D450">
        <v>141590</v>
      </c>
      <c r="E450" t="s">
        <v>422</v>
      </c>
      <c r="F450">
        <v>0.28000000000000003</v>
      </c>
    </row>
    <row r="451" spans="1:6" x14ac:dyDescent="0.25">
      <c r="A451" t="s">
        <v>63</v>
      </c>
      <c r="B451">
        <v>24</v>
      </c>
      <c r="C451" t="s">
        <v>31</v>
      </c>
      <c r="D451">
        <v>196612</v>
      </c>
      <c r="E451" t="s">
        <v>425</v>
      </c>
      <c r="F451">
        <v>0.23</v>
      </c>
    </row>
    <row r="452" spans="1:6" x14ac:dyDescent="0.25">
      <c r="A452" t="s">
        <v>96</v>
      </c>
      <c r="B452">
        <v>22</v>
      </c>
      <c r="C452" t="s">
        <v>25</v>
      </c>
      <c r="D452">
        <v>184471</v>
      </c>
      <c r="E452" t="s">
        <v>422</v>
      </c>
      <c r="F452">
        <v>0.25</v>
      </c>
    </row>
    <row r="453" spans="1:6" x14ac:dyDescent="0.25">
      <c r="A453" t="s">
        <v>348</v>
      </c>
      <c r="B453">
        <v>30</v>
      </c>
      <c r="C453" t="s">
        <v>25</v>
      </c>
      <c r="D453">
        <v>135155</v>
      </c>
      <c r="E453" t="s">
        <v>423</v>
      </c>
      <c r="F453">
        <v>0.27</v>
      </c>
    </row>
    <row r="454" spans="1:6" x14ac:dyDescent="0.25">
      <c r="A454" t="s">
        <v>302</v>
      </c>
      <c r="B454">
        <v>27</v>
      </c>
      <c r="C454" t="s">
        <v>19</v>
      </c>
      <c r="D454">
        <v>150864</v>
      </c>
      <c r="E454" t="s">
        <v>422</v>
      </c>
      <c r="F454">
        <v>0.26</v>
      </c>
    </row>
    <row r="455" spans="1:6" x14ac:dyDescent="0.25">
      <c r="A455" t="s">
        <v>193</v>
      </c>
      <c r="B455">
        <v>22</v>
      </c>
      <c r="C455" t="s">
        <v>31</v>
      </c>
      <c r="D455">
        <v>149667</v>
      </c>
      <c r="E455" t="s">
        <v>424</v>
      </c>
      <c r="F455">
        <v>0.22</v>
      </c>
    </row>
    <row r="456" spans="1:6" x14ac:dyDescent="0.25">
      <c r="A456" t="s">
        <v>274</v>
      </c>
      <c r="B456">
        <v>22</v>
      </c>
      <c r="C456" t="s">
        <v>31</v>
      </c>
      <c r="D456">
        <v>196775</v>
      </c>
      <c r="E456" t="s">
        <v>422</v>
      </c>
      <c r="F456">
        <v>0.25</v>
      </c>
    </row>
    <row r="457" spans="1:6" x14ac:dyDescent="0.25">
      <c r="A457" t="s">
        <v>228</v>
      </c>
      <c r="B457">
        <v>23</v>
      </c>
      <c r="C457" t="s">
        <v>36</v>
      </c>
      <c r="D457">
        <v>136541</v>
      </c>
      <c r="E457" t="s">
        <v>422</v>
      </c>
      <c r="F457">
        <v>0.28000000000000003</v>
      </c>
    </row>
    <row r="458" spans="1:6" x14ac:dyDescent="0.25">
      <c r="A458" t="s">
        <v>74</v>
      </c>
      <c r="B458">
        <v>27</v>
      </c>
      <c r="C458" t="s">
        <v>33</v>
      </c>
      <c r="D458">
        <v>192149</v>
      </c>
      <c r="E458" t="s">
        <v>426</v>
      </c>
      <c r="F458">
        <v>0.23</v>
      </c>
    </row>
    <row r="459" spans="1:6" x14ac:dyDescent="0.25">
      <c r="A459" t="s">
        <v>225</v>
      </c>
      <c r="B459">
        <v>20</v>
      </c>
      <c r="C459" t="s">
        <v>21</v>
      </c>
      <c r="D459">
        <v>153755</v>
      </c>
      <c r="E459" t="s">
        <v>423</v>
      </c>
      <c r="F459">
        <v>0.28000000000000003</v>
      </c>
    </row>
    <row r="460" spans="1:6" x14ac:dyDescent="0.25">
      <c r="A460" t="s">
        <v>132</v>
      </c>
      <c r="B460">
        <v>21</v>
      </c>
      <c r="C460" t="s">
        <v>27</v>
      </c>
      <c r="D460">
        <v>181681</v>
      </c>
      <c r="E460" t="s">
        <v>422</v>
      </c>
      <c r="F460">
        <v>0.27</v>
      </c>
    </row>
    <row r="461" spans="1:6" x14ac:dyDescent="0.25">
      <c r="A461" t="s">
        <v>392</v>
      </c>
      <c r="B461">
        <v>26</v>
      </c>
      <c r="C461" t="s">
        <v>19</v>
      </c>
      <c r="D461">
        <v>111343</v>
      </c>
      <c r="E461" t="s">
        <v>425</v>
      </c>
      <c r="F461">
        <v>0.24</v>
      </c>
    </row>
    <row r="462" spans="1:6" x14ac:dyDescent="0.25">
      <c r="A462" t="s">
        <v>48</v>
      </c>
      <c r="B462">
        <v>29</v>
      </c>
      <c r="C462" t="s">
        <v>50</v>
      </c>
      <c r="D462">
        <v>187854</v>
      </c>
      <c r="E462" t="s">
        <v>423</v>
      </c>
      <c r="F462">
        <v>0.27</v>
      </c>
    </row>
    <row r="463" spans="1:6" x14ac:dyDescent="0.25">
      <c r="A463" t="s">
        <v>356</v>
      </c>
      <c r="B463">
        <v>22</v>
      </c>
      <c r="C463" t="s">
        <v>27</v>
      </c>
      <c r="D463">
        <v>122467</v>
      </c>
      <c r="E463" t="s">
        <v>425</v>
      </c>
      <c r="F463">
        <v>0.23</v>
      </c>
    </row>
    <row r="464" spans="1:6" x14ac:dyDescent="0.25">
      <c r="A464" t="s">
        <v>248</v>
      </c>
      <c r="B464">
        <v>18</v>
      </c>
      <c r="C464" t="s">
        <v>21</v>
      </c>
      <c r="D464">
        <v>147397</v>
      </c>
      <c r="E464" t="s">
        <v>425</v>
      </c>
      <c r="F464">
        <v>0.24</v>
      </c>
    </row>
    <row r="465" spans="1:6" x14ac:dyDescent="0.25">
      <c r="A465" t="s">
        <v>365</v>
      </c>
      <c r="B465">
        <v>21</v>
      </c>
      <c r="C465" t="s">
        <v>21</v>
      </c>
      <c r="D465">
        <v>143563</v>
      </c>
      <c r="E465" t="s">
        <v>424</v>
      </c>
      <c r="F465">
        <v>0.22</v>
      </c>
    </row>
    <row r="466" spans="1:6" x14ac:dyDescent="0.25">
      <c r="A466" t="s">
        <v>136</v>
      </c>
      <c r="B466">
        <v>23</v>
      </c>
      <c r="C466" t="s">
        <v>50</v>
      </c>
      <c r="D466">
        <v>143307</v>
      </c>
      <c r="E466" t="s">
        <v>425</v>
      </c>
      <c r="F466">
        <v>0.25</v>
      </c>
    </row>
    <row r="467" spans="1:6" x14ac:dyDescent="0.25">
      <c r="A467" t="s">
        <v>92</v>
      </c>
      <c r="B467">
        <v>30</v>
      </c>
      <c r="C467" t="s">
        <v>31</v>
      </c>
      <c r="D467">
        <v>130687</v>
      </c>
      <c r="E467" t="s">
        <v>424</v>
      </c>
      <c r="F467">
        <v>0.21</v>
      </c>
    </row>
    <row r="468" spans="1:6" x14ac:dyDescent="0.25">
      <c r="A468" t="s">
        <v>270</v>
      </c>
      <c r="B468">
        <v>21</v>
      </c>
      <c r="C468" t="s">
        <v>17</v>
      </c>
      <c r="D468">
        <v>166255</v>
      </c>
      <c r="E468" t="s">
        <v>422</v>
      </c>
      <c r="F468">
        <v>0.28000000000000003</v>
      </c>
    </row>
    <row r="469" spans="1:6" x14ac:dyDescent="0.25">
      <c r="A469" t="s">
        <v>241</v>
      </c>
      <c r="B469">
        <v>27</v>
      </c>
      <c r="C469" t="s">
        <v>27</v>
      </c>
      <c r="D469">
        <v>163132</v>
      </c>
      <c r="E469" t="s">
        <v>425</v>
      </c>
      <c r="F469">
        <v>0.23</v>
      </c>
    </row>
    <row r="470" spans="1:6" x14ac:dyDescent="0.25">
      <c r="A470" t="s">
        <v>180</v>
      </c>
      <c r="B470">
        <v>29</v>
      </c>
      <c r="C470" t="s">
        <v>50</v>
      </c>
      <c r="D470">
        <v>120815</v>
      </c>
      <c r="E470" t="s">
        <v>422</v>
      </c>
      <c r="F470">
        <v>0.26</v>
      </c>
    </row>
    <row r="471" spans="1:6" x14ac:dyDescent="0.25">
      <c r="A471" t="s">
        <v>276</v>
      </c>
      <c r="B471">
        <v>26</v>
      </c>
      <c r="C471" t="s">
        <v>31</v>
      </c>
      <c r="D471">
        <v>185915</v>
      </c>
      <c r="E471" t="s">
        <v>426</v>
      </c>
      <c r="F471">
        <v>0.22</v>
      </c>
    </row>
    <row r="472" spans="1:6" x14ac:dyDescent="0.25">
      <c r="A472" t="s">
        <v>347</v>
      </c>
      <c r="B472">
        <v>27</v>
      </c>
      <c r="C472" t="s">
        <v>36</v>
      </c>
      <c r="D472">
        <v>120916</v>
      </c>
      <c r="E472" t="s">
        <v>424</v>
      </c>
      <c r="F472">
        <v>0.21</v>
      </c>
    </row>
    <row r="473" spans="1:6" x14ac:dyDescent="0.25">
      <c r="A473" t="s">
        <v>276</v>
      </c>
      <c r="B473">
        <v>19</v>
      </c>
      <c r="C473" t="s">
        <v>27</v>
      </c>
      <c r="D473">
        <v>141982</v>
      </c>
      <c r="E473" t="s">
        <v>424</v>
      </c>
      <c r="F473">
        <v>0.21</v>
      </c>
    </row>
    <row r="474" spans="1:6" x14ac:dyDescent="0.25">
      <c r="A474" t="s">
        <v>67</v>
      </c>
      <c r="B474">
        <v>23</v>
      </c>
      <c r="C474" t="s">
        <v>25</v>
      </c>
      <c r="D474">
        <v>123910</v>
      </c>
      <c r="E474" t="s">
        <v>426</v>
      </c>
      <c r="F474">
        <v>0.23</v>
      </c>
    </row>
    <row r="475" spans="1:6" x14ac:dyDescent="0.25">
      <c r="A475" t="s">
        <v>341</v>
      </c>
      <c r="B475">
        <v>26</v>
      </c>
      <c r="C475" t="s">
        <v>19</v>
      </c>
      <c r="D475">
        <v>111764</v>
      </c>
      <c r="E475" t="s">
        <v>425</v>
      </c>
      <c r="F475">
        <v>0.25</v>
      </c>
    </row>
    <row r="476" spans="1:6" x14ac:dyDescent="0.25">
      <c r="A476" t="s">
        <v>96</v>
      </c>
      <c r="B476">
        <v>22</v>
      </c>
      <c r="C476" t="s">
        <v>45</v>
      </c>
      <c r="D476">
        <v>163228</v>
      </c>
      <c r="E476" t="s">
        <v>422</v>
      </c>
      <c r="F476">
        <v>0.26</v>
      </c>
    </row>
    <row r="477" spans="1:6" x14ac:dyDescent="0.25">
      <c r="A477" t="s">
        <v>352</v>
      </c>
      <c r="B477">
        <v>27</v>
      </c>
      <c r="C477" t="s">
        <v>23</v>
      </c>
      <c r="D477">
        <v>130089</v>
      </c>
      <c r="E477" t="s">
        <v>426</v>
      </c>
      <c r="F477">
        <v>0.23</v>
      </c>
    </row>
    <row r="478" spans="1:6" x14ac:dyDescent="0.25">
      <c r="A478" t="s">
        <v>300</v>
      </c>
      <c r="B478">
        <v>30</v>
      </c>
      <c r="C478" t="s">
        <v>23</v>
      </c>
      <c r="D478">
        <v>193757</v>
      </c>
      <c r="E478" t="s">
        <v>422</v>
      </c>
      <c r="F478">
        <v>0.28000000000000003</v>
      </c>
    </row>
    <row r="479" spans="1:6" x14ac:dyDescent="0.25">
      <c r="A479" t="s">
        <v>160</v>
      </c>
      <c r="B479">
        <v>20</v>
      </c>
      <c r="C479" t="s">
        <v>31</v>
      </c>
      <c r="D479">
        <v>171769</v>
      </c>
      <c r="E479" t="s">
        <v>426</v>
      </c>
      <c r="F479">
        <v>0.22</v>
      </c>
    </row>
    <row r="480" spans="1:6" x14ac:dyDescent="0.25">
      <c r="A480" t="s">
        <v>410</v>
      </c>
      <c r="B480">
        <v>24</v>
      </c>
      <c r="C480" t="s">
        <v>31</v>
      </c>
      <c r="D480">
        <v>141806</v>
      </c>
      <c r="E480" t="s">
        <v>424</v>
      </c>
      <c r="F480">
        <v>0.23</v>
      </c>
    </row>
    <row r="481" spans="1:6" x14ac:dyDescent="0.25">
      <c r="A481" t="s">
        <v>229</v>
      </c>
      <c r="B481">
        <v>24</v>
      </c>
      <c r="C481" t="s">
        <v>33</v>
      </c>
      <c r="D481">
        <v>169112</v>
      </c>
      <c r="E481" t="s">
        <v>424</v>
      </c>
      <c r="F481">
        <v>0.22</v>
      </c>
    </row>
    <row r="482" spans="1:6" x14ac:dyDescent="0.25">
      <c r="A482" t="s">
        <v>127</v>
      </c>
      <c r="B482">
        <v>22</v>
      </c>
      <c r="C482" t="s">
        <v>19</v>
      </c>
      <c r="D482">
        <v>184280</v>
      </c>
      <c r="E482" t="s">
        <v>424</v>
      </c>
      <c r="F482">
        <v>0.21</v>
      </c>
    </row>
    <row r="483" spans="1:6" x14ac:dyDescent="0.25">
      <c r="A483" t="s">
        <v>193</v>
      </c>
      <c r="B483">
        <v>27</v>
      </c>
      <c r="C483" t="s">
        <v>79</v>
      </c>
      <c r="D483">
        <v>110409</v>
      </c>
      <c r="E483" t="s">
        <v>423</v>
      </c>
      <c r="F483">
        <v>0.26</v>
      </c>
    </row>
    <row r="484" spans="1:6" x14ac:dyDescent="0.25">
      <c r="A484" t="s">
        <v>331</v>
      </c>
      <c r="B484">
        <v>18</v>
      </c>
      <c r="C484" t="s">
        <v>50</v>
      </c>
      <c r="D484">
        <v>155555</v>
      </c>
      <c r="E484" t="s">
        <v>422</v>
      </c>
      <c r="F484">
        <v>0.26</v>
      </c>
    </row>
    <row r="485" spans="1:6" x14ac:dyDescent="0.25">
      <c r="A485" t="s">
        <v>113</v>
      </c>
      <c r="B485">
        <v>19</v>
      </c>
      <c r="C485" t="s">
        <v>50</v>
      </c>
      <c r="D485">
        <v>142379</v>
      </c>
      <c r="E485" t="s">
        <v>423</v>
      </c>
      <c r="F485">
        <v>0.28000000000000003</v>
      </c>
    </row>
    <row r="486" spans="1:6" x14ac:dyDescent="0.25">
      <c r="A486" t="s">
        <v>301</v>
      </c>
      <c r="B486">
        <v>20</v>
      </c>
      <c r="C486" t="s">
        <v>36</v>
      </c>
      <c r="D486">
        <v>146587</v>
      </c>
      <c r="E486" t="s">
        <v>422</v>
      </c>
      <c r="F486">
        <v>0.27</v>
      </c>
    </row>
    <row r="487" spans="1:6" x14ac:dyDescent="0.25">
      <c r="A487" t="s">
        <v>257</v>
      </c>
      <c r="B487">
        <v>18</v>
      </c>
      <c r="C487" t="s">
        <v>36</v>
      </c>
      <c r="D487">
        <v>125904</v>
      </c>
      <c r="E487" t="s">
        <v>426</v>
      </c>
      <c r="F487">
        <v>0.23</v>
      </c>
    </row>
    <row r="488" spans="1:6" x14ac:dyDescent="0.25">
      <c r="A488" t="s">
        <v>123</v>
      </c>
      <c r="B488">
        <v>28</v>
      </c>
      <c r="C488" t="s">
        <v>21</v>
      </c>
      <c r="D488">
        <v>103688</v>
      </c>
      <c r="E488" t="s">
        <v>424</v>
      </c>
      <c r="F488">
        <v>0.21</v>
      </c>
    </row>
    <row r="489" spans="1:6" x14ac:dyDescent="0.25">
      <c r="A489" t="s">
        <v>411</v>
      </c>
      <c r="B489">
        <v>30</v>
      </c>
      <c r="C489" t="s">
        <v>25</v>
      </c>
      <c r="D489">
        <v>182653</v>
      </c>
      <c r="E489" t="s">
        <v>423</v>
      </c>
      <c r="F489">
        <v>0.25</v>
      </c>
    </row>
    <row r="490" spans="1:6" x14ac:dyDescent="0.25">
      <c r="A490" t="s">
        <v>243</v>
      </c>
      <c r="B490">
        <v>25</v>
      </c>
      <c r="C490" t="s">
        <v>72</v>
      </c>
      <c r="D490">
        <v>172376</v>
      </c>
      <c r="E490" t="s">
        <v>424</v>
      </c>
      <c r="F490">
        <v>0.23</v>
      </c>
    </row>
    <row r="491" spans="1:6" x14ac:dyDescent="0.25">
      <c r="A491" t="s">
        <v>357</v>
      </c>
      <c r="B491">
        <v>21</v>
      </c>
      <c r="C491" t="s">
        <v>36</v>
      </c>
      <c r="D491">
        <v>158123</v>
      </c>
      <c r="E491" t="s">
        <v>426</v>
      </c>
      <c r="F491">
        <v>0.22</v>
      </c>
    </row>
    <row r="492" spans="1:6" x14ac:dyDescent="0.25">
      <c r="A492" t="s">
        <v>194</v>
      </c>
      <c r="B492">
        <v>22</v>
      </c>
      <c r="C492" t="s">
        <v>15</v>
      </c>
      <c r="D492">
        <v>157827</v>
      </c>
      <c r="E492" t="s">
        <v>422</v>
      </c>
      <c r="F492">
        <v>0.26</v>
      </c>
    </row>
    <row r="493" spans="1:6" x14ac:dyDescent="0.25">
      <c r="A493" t="s">
        <v>244</v>
      </c>
      <c r="B493">
        <v>29</v>
      </c>
      <c r="C493" t="s">
        <v>33</v>
      </c>
      <c r="D493">
        <v>155173</v>
      </c>
      <c r="E493" t="s">
        <v>426</v>
      </c>
      <c r="F493">
        <v>0.22</v>
      </c>
    </row>
    <row r="494" spans="1:6" x14ac:dyDescent="0.25">
      <c r="A494" t="s">
        <v>170</v>
      </c>
      <c r="B494">
        <v>23</v>
      </c>
      <c r="C494" t="s">
        <v>50</v>
      </c>
      <c r="D494">
        <v>116195</v>
      </c>
      <c r="E494" t="s">
        <v>423</v>
      </c>
      <c r="F494">
        <v>0.26</v>
      </c>
    </row>
    <row r="495" spans="1:6" x14ac:dyDescent="0.25">
      <c r="A495" t="s">
        <v>14</v>
      </c>
      <c r="B495">
        <v>28</v>
      </c>
      <c r="C495" t="s">
        <v>21</v>
      </c>
      <c r="D495">
        <v>153681</v>
      </c>
      <c r="E495" t="s">
        <v>426</v>
      </c>
      <c r="F495">
        <v>0.21</v>
      </c>
    </row>
    <row r="496" spans="1:6" x14ac:dyDescent="0.25">
      <c r="A496" t="s">
        <v>155</v>
      </c>
      <c r="B496">
        <v>20</v>
      </c>
      <c r="C496" t="s">
        <v>23</v>
      </c>
      <c r="D496">
        <v>101062</v>
      </c>
      <c r="E496" t="s">
        <v>425</v>
      </c>
      <c r="F496">
        <v>0.23</v>
      </c>
    </row>
    <row r="497" spans="1:6" x14ac:dyDescent="0.25">
      <c r="A497" t="s">
        <v>343</v>
      </c>
      <c r="B497">
        <v>22</v>
      </c>
      <c r="C497" t="s">
        <v>79</v>
      </c>
      <c r="D497">
        <v>113355</v>
      </c>
      <c r="E497" t="s">
        <v>423</v>
      </c>
      <c r="F497">
        <v>0.28000000000000003</v>
      </c>
    </row>
    <row r="498" spans="1:6" x14ac:dyDescent="0.25">
      <c r="A498" t="s">
        <v>210</v>
      </c>
      <c r="B498">
        <v>25</v>
      </c>
      <c r="C498" t="s">
        <v>23</v>
      </c>
      <c r="D498">
        <v>185608</v>
      </c>
      <c r="E498" t="s">
        <v>423</v>
      </c>
      <c r="F498">
        <v>0.28000000000000003</v>
      </c>
    </row>
    <row r="499" spans="1:6" x14ac:dyDescent="0.25">
      <c r="A499" t="s">
        <v>217</v>
      </c>
      <c r="B499">
        <v>27</v>
      </c>
      <c r="C499" t="s">
        <v>25</v>
      </c>
      <c r="D499">
        <v>161589</v>
      </c>
      <c r="E499" t="s">
        <v>423</v>
      </c>
      <c r="F499">
        <v>0.27</v>
      </c>
    </row>
    <row r="500" spans="1:6" x14ac:dyDescent="0.25">
      <c r="A500" t="s">
        <v>412</v>
      </c>
      <c r="B500">
        <v>24</v>
      </c>
      <c r="C500" t="s">
        <v>23</v>
      </c>
      <c r="D500">
        <v>138999</v>
      </c>
      <c r="E500" t="s">
        <v>425</v>
      </c>
      <c r="F500">
        <v>0.23</v>
      </c>
    </row>
    <row r="501" spans="1:6" x14ac:dyDescent="0.25">
      <c r="A501" t="s">
        <v>16</v>
      </c>
      <c r="B501">
        <v>19</v>
      </c>
      <c r="C501" t="s">
        <v>36</v>
      </c>
      <c r="D501">
        <v>179846</v>
      </c>
      <c r="E501" t="s">
        <v>424</v>
      </c>
      <c r="F501">
        <v>0.23</v>
      </c>
    </row>
    <row r="502" spans="1:6" x14ac:dyDescent="0.25">
      <c r="A502" t="s">
        <v>43</v>
      </c>
      <c r="B502">
        <v>24</v>
      </c>
      <c r="C502" t="s">
        <v>33</v>
      </c>
      <c r="D502">
        <v>196441</v>
      </c>
      <c r="E502" t="s">
        <v>424</v>
      </c>
      <c r="F502">
        <v>0.21</v>
      </c>
    </row>
    <row r="503" spans="1:6" x14ac:dyDescent="0.25">
      <c r="A503" t="s">
        <v>144</v>
      </c>
      <c r="B503">
        <v>22</v>
      </c>
      <c r="C503" t="s">
        <v>25</v>
      </c>
      <c r="D503">
        <v>181312</v>
      </c>
      <c r="E503" t="s">
        <v>425</v>
      </c>
      <c r="F503">
        <v>0.23</v>
      </c>
    </row>
    <row r="504" spans="1:6" x14ac:dyDescent="0.25">
      <c r="A504" t="s">
        <v>413</v>
      </c>
      <c r="B504">
        <v>24</v>
      </c>
      <c r="C504" t="s">
        <v>25</v>
      </c>
      <c r="D504">
        <v>155222</v>
      </c>
      <c r="E504" t="s">
        <v>422</v>
      </c>
      <c r="F504">
        <v>0.25</v>
      </c>
    </row>
    <row r="505" spans="1:6" x14ac:dyDescent="0.25">
      <c r="A505" t="s">
        <v>317</v>
      </c>
      <c r="B505">
        <v>20</v>
      </c>
      <c r="C505" t="s">
        <v>25</v>
      </c>
      <c r="D505">
        <v>157804</v>
      </c>
      <c r="E505" t="s">
        <v>423</v>
      </c>
      <c r="F505">
        <v>0.25</v>
      </c>
    </row>
    <row r="506" spans="1:6" x14ac:dyDescent="0.25">
      <c r="A506" t="s">
        <v>37</v>
      </c>
      <c r="B506">
        <v>26</v>
      </c>
      <c r="C506" t="s">
        <v>79</v>
      </c>
      <c r="D506">
        <v>122678</v>
      </c>
      <c r="E506" t="s">
        <v>423</v>
      </c>
      <c r="F506">
        <v>0.25</v>
      </c>
    </row>
    <row r="507" spans="1:6" x14ac:dyDescent="0.25">
      <c r="A507" t="s">
        <v>73</v>
      </c>
      <c r="B507">
        <v>21</v>
      </c>
      <c r="C507" t="s">
        <v>36</v>
      </c>
      <c r="D507">
        <v>158747</v>
      </c>
      <c r="E507" t="s">
        <v>426</v>
      </c>
      <c r="F507">
        <v>0.21</v>
      </c>
    </row>
    <row r="508" spans="1:6" x14ac:dyDescent="0.25">
      <c r="A508" t="s">
        <v>297</v>
      </c>
      <c r="B508">
        <v>27</v>
      </c>
      <c r="C508" t="s">
        <v>15</v>
      </c>
      <c r="D508">
        <v>171201</v>
      </c>
      <c r="E508" t="s">
        <v>423</v>
      </c>
      <c r="F508">
        <v>0.25</v>
      </c>
    </row>
    <row r="509" spans="1:6" x14ac:dyDescent="0.25">
      <c r="A509" t="s">
        <v>87</v>
      </c>
      <c r="B509">
        <v>24</v>
      </c>
      <c r="C509" t="s">
        <v>50</v>
      </c>
      <c r="D509">
        <v>166664</v>
      </c>
      <c r="E509" t="s">
        <v>422</v>
      </c>
      <c r="F509">
        <v>0.25</v>
      </c>
    </row>
    <row r="510" spans="1:6" x14ac:dyDescent="0.25">
      <c r="A510" t="s">
        <v>92</v>
      </c>
      <c r="B510">
        <v>21</v>
      </c>
      <c r="C510" t="s">
        <v>23</v>
      </c>
      <c r="D510">
        <v>188123</v>
      </c>
      <c r="E510" t="s">
        <v>424</v>
      </c>
      <c r="F510">
        <v>0.21</v>
      </c>
    </row>
    <row r="511" spans="1:6" x14ac:dyDescent="0.25">
      <c r="A511" t="s">
        <v>220</v>
      </c>
      <c r="B511">
        <v>19</v>
      </c>
      <c r="C511" t="s">
        <v>31</v>
      </c>
      <c r="D511">
        <v>174517</v>
      </c>
      <c r="E511" t="s">
        <v>425</v>
      </c>
      <c r="F511">
        <v>0.24</v>
      </c>
    </row>
    <row r="512" spans="1:6" x14ac:dyDescent="0.25">
      <c r="A512" t="s">
        <v>232</v>
      </c>
      <c r="B512">
        <v>26</v>
      </c>
      <c r="C512" t="s">
        <v>36</v>
      </c>
      <c r="D512">
        <v>172448</v>
      </c>
      <c r="E512" t="s">
        <v>424</v>
      </c>
      <c r="F512">
        <v>0.21</v>
      </c>
    </row>
    <row r="513" spans="1:6" x14ac:dyDescent="0.25">
      <c r="A513" t="s">
        <v>180</v>
      </c>
      <c r="B513">
        <v>30</v>
      </c>
      <c r="C513" t="s">
        <v>17</v>
      </c>
      <c r="D513">
        <v>170401</v>
      </c>
      <c r="E513" t="s">
        <v>422</v>
      </c>
      <c r="F513">
        <v>0.27</v>
      </c>
    </row>
    <row r="514" spans="1:6" x14ac:dyDescent="0.25">
      <c r="A514" t="s">
        <v>63</v>
      </c>
      <c r="B514">
        <v>19</v>
      </c>
      <c r="C514" t="s">
        <v>31</v>
      </c>
      <c r="D514">
        <v>136426</v>
      </c>
      <c r="E514" t="s">
        <v>423</v>
      </c>
      <c r="F514">
        <v>0.26</v>
      </c>
    </row>
    <row r="515" spans="1:6" x14ac:dyDescent="0.25">
      <c r="A515" t="s">
        <v>302</v>
      </c>
      <c r="B515">
        <v>29</v>
      </c>
      <c r="C515" t="s">
        <v>19</v>
      </c>
      <c r="D515">
        <v>186985</v>
      </c>
      <c r="E515" t="s">
        <v>423</v>
      </c>
      <c r="F515">
        <v>0.28000000000000003</v>
      </c>
    </row>
    <row r="516" spans="1:6" x14ac:dyDescent="0.25">
      <c r="A516" t="s">
        <v>46</v>
      </c>
      <c r="B516">
        <v>23</v>
      </c>
      <c r="C516" t="s">
        <v>27</v>
      </c>
      <c r="D516">
        <v>150784</v>
      </c>
      <c r="E516" t="s">
        <v>426</v>
      </c>
      <c r="F516">
        <v>0.22</v>
      </c>
    </row>
    <row r="517" spans="1:6" x14ac:dyDescent="0.25">
      <c r="A517" t="s">
        <v>216</v>
      </c>
      <c r="B517">
        <v>26</v>
      </c>
      <c r="C517" t="s">
        <v>15</v>
      </c>
      <c r="D517">
        <v>135933</v>
      </c>
      <c r="E517" t="s">
        <v>422</v>
      </c>
      <c r="F517">
        <v>0.28000000000000003</v>
      </c>
    </row>
    <row r="518" spans="1:6" x14ac:dyDescent="0.25">
      <c r="A518" t="s">
        <v>20</v>
      </c>
      <c r="B518">
        <v>27</v>
      </c>
      <c r="C518" t="s">
        <v>72</v>
      </c>
      <c r="D518">
        <v>192862</v>
      </c>
      <c r="E518" t="s">
        <v>422</v>
      </c>
      <c r="F518">
        <v>0.28000000000000003</v>
      </c>
    </row>
    <row r="519" spans="1:6" x14ac:dyDescent="0.25">
      <c r="A519" t="s">
        <v>205</v>
      </c>
      <c r="B519">
        <v>21</v>
      </c>
      <c r="C519" t="s">
        <v>17</v>
      </c>
      <c r="D519">
        <v>107637</v>
      </c>
      <c r="E519" t="s">
        <v>422</v>
      </c>
      <c r="F519">
        <v>0.28000000000000003</v>
      </c>
    </row>
    <row r="520" spans="1:6" x14ac:dyDescent="0.25">
      <c r="A520" t="s">
        <v>202</v>
      </c>
      <c r="B520">
        <v>30</v>
      </c>
      <c r="C520" t="s">
        <v>21</v>
      </c>
      <c r="D520">
        <v>159973</v>
      </c>
      <c r="E520" t="s">
        <v>424</v>
      </c>
      <c r="F520">
        <v>0.23</v>
      </c>
    </row>
    <row r="521" spans="1:6" x14ac:dyDescent="0.25">
      <c r="A521" t="s">
        <v>140</v>
      </c>
      <c r="B521">
        <v>24</v>
      </c>
      <c r="C521" t="s">
        <v>45</v>
      </c>
      <c r="D521">
        <v>104250</v>
      </c>
      <c r="E521" t="s">
        <v>425</v>
      </c>
      <c r="F521">
        <v>0.23</v>
      </c>
    </row>
    <row r="522" spans="1:6" x14ac:dyDescent="0.25">
      <c r="A522" t="s">
        <v>78</v>
      </c>
      <c r="B522">
        <v>20</v>
      </c>
      <c r="C522" t="s">
        <v>27</v>
      </c>
      <c r="D522">
        <v>120859</v>
      </c>
      <c r="E522" t="s">
        <v>426</v>
      </c>
      <c r="F522">
        <v>0.21</v>
      </c>
    </row>
    <row r="523" spans="1:6" x14ac:dyDescent="0.25">
      <c r="A523" t="s">
        <v>357</v>
      </c>
      <c r="B523">
        <v>18</v>
      </c>
      <c r="C523" t="s">
        <v>15</v>
      </c>
      <c r="D523">
        <v>140434</v>
      </c>
      <c r="E523" t="s">
        <v>424</v>
      </c>
      <c r="F523">
        <v>0.22</v>
      </c>
    </row>
    <row r="524" spans="1:6" x14ac:dyDescent="0.25">
      <c r="A524" t="s">
        <v>219</v>
      </c>
      <c r="B524">
        <v>25</v>
      </c>
      <c r="C524" t="s">
        <v>15</v>
      </c>
      <c r="D524">
        <v>199045</v>
      </c>
      <c r="E524" t="s">
        <v>422</v>
      </c>
      <c r="F524">
        <v>0.25</v>
      </c>
    </row>
    <row r="525" spans="1:6" x14ac:dyDescent="0.25">
      <c r="A525" t="s">
        <v>180</v>
      </c>
      <c r="B525">
        <v>20</v>
      </c>
      <c r="C525" t="s">
        <v>33</v>
      </c>
      <c r="D525">
        <v>125970</v>
      </c>
      <c r="E525" t="s">
        <v>424</v>
      </c>
      <c r="F525">
        <v>0.21</v>
      </c>
    </row>
    <row r="526" spans="1:6" x14ac:dyDescent="0.25">
      <c r="A526" t="s">
        <v>414</v>
      </c>
      <c r="B526">
        <v>27</v>
      </c>
      <c r="C526" t="s">
        <v>36</v>
      </c>
      <c r="D526">
        <v>162839</v>
      </c>
      <c r="E526" t="s">
        <v>423</v>
      </c>
      <c r="F526">
        <v>0.26</v>
      </c>
    </row>
    <row r="527" spans="1:6" x14ac:dyDescent="0.25">
      <c r="A527" t="s">
        <v>394</v>
      </c>
      <c r="B527">
        <v>23</v>
      </c>
      <c r="C527" t="s">
        <v>79</v>
      </c>
      <c r="D527">
        <v>196507</v>
      </c>
      <c r="E527" t="s">
        <v>425</v>
      </c>
      <c r="F527">
        <v>0.23</v>
      </c>
    </row>
    <row r="528" spans="1:6" x14ac:dyDescent="0.25">
      <c r="A528" t="s">
        <v>100</v>
      </c>
      <c r="B528">
        <v>19</v>
      </c>
      <c r="C528" t="s">
        <v>79</v>
      </c>
      <c r="D528">
        <v>178291</v>
      </c>
      <c r="E528" t="s">
        <v>426</v>
      </c>
      <c r="F528">
        <v>0.23</v>
      </c>
    </row>
    <row r="529" spans="1:6" x14ac:dyDescent="0.25">
      <c r="A529" t="s">
        <v>312</v>
      </c>
      <c r="B529">
        <v>19</v>
      </c>
      <c r="C529" t="s">
        <v>50</v>
      </c>
      <c r="D529">
        <v>142471</v>
      </c>
      <c r="E529" t="s">
        <v>424</v>
      </c>
      <c r="F529">
        <v>0.22</v>
      </c>
    </row>
    <row r="530" spans="1:6" x14ac:dyDescent="0.25">
      <c r="A530" t="s">
        <v>47</v>
      </c>
      <c r="B530">
        <v>28</v>
      </c>
      <c r="C530" t="s">
        <v>45</v>
      </c>
      <c r="D530">
        <v>189723</v>
      </c>
      <c r="E530" t="s">
        <v>426</v>
      </c>
      <c r="F530">
        <v>0.23</v>
      </c>
    </row>
    <row r="531" spans="1:6" x14ac:dyDescent="0.25">
      <c r="A531" t="s">
        <v>388</v>
      </c>
      <c r="B531">
        <v>27</v>
      </c>
      <c r="C531" t="s">
        <v>25</v>
      </c>
      <c r="D531">
        <v>131598</v>
      </c>
      <c r="E531" t="s">
        <v>426</v>
      </c>
      <c r="F531">
        <v>0.22</v>
      </c>
    </row>
    <row r="532" spans="1:6" x14ac:dyDescent="0.25">
      <c r="A532" t="s">
        <v>406</v>
      </c>
      <c r="B532">
        <v>28</v>
      </c>
      <c r="C532" t="s">
        <v>45</v>
      </c>
      <c r="D532">
        <v>128391</v>
      </c>
      <c r="E532" t="s">
        <v>425</v>
      </c>
      <c r="F532">
        <v>0.24</v>
      </c>
    </row>
    <row r="533" spans="1:6" x14ac:dyDescent="0.25">
      <c r="A533" t="s">
        <v>273</v>
      </c>
      <c r="B533">
        <v>24</v>
      </c>
      <c r="C533" t="s">
        <v>72</v>
      </c>
      <c r="D533">
        <v>198802</v>
      </c>
      <c r="E533" t="s">
        <v>425</v>
      </c>
      <c r="F533">
        <v>0.24</v>
      </c>
    </row>
    <row r="534" spans="1:6" x14ac:dyDescent="0.25">
      <c r="A534" t="s">
        <v>375</v>
      </c>
      <c r="B534">
        <v>23</v>
      </c>
      <c r="C534" t="s">
        <v>36</v>
      </c>
      <c r="D534">
        <v>163017</v>
      </c>
      <c r="E534" t="s">
        <v>424</v>
      </c>
      <c r="F534">
        <v>0.23</v>
      </c>
    </row>
    <row r="535" spans="1:6" x14ac:dyDescent="0.25">
      <c r="A535" t="s">
        <v>150</v>
      </c>
      <c r="B535">
        <v>29</v>
      </c>
      <c r="C535" t="s">
        <v>31</v>
      </c>
      <c r="D535">
        <v>102850</v>
      </c>
      <c r="E535" t="s">
        <v>426</v>
      </c>
      <c r="F535">
        <v>0.23</v>
      </c>
    </row>
    <row r="536" spans="1:6" x14ac:dyDescent="0.25">
      <c r="A536" t="s">
        <v>296</v>
      </c>
      <c r="B536">
        <v>24</v>
      </c>
      <c r="C536" t="s">
        <v>36</v>
      </c>
      <c r="D536">
        <v>151551</v>
      </c>
      <c r="E536" t="s">
        <v>422</v>
      </c>
      <c r="F536">
        <v>0.26</v>
      </c>
    </row>
    <row r="537" spans="1:6" x14ac:dyDescent="0.25">
      <c r="A537" t="s">
        <v>225</v>
      </c>
      <c r="B537">
        <v>21</v>
      </c>
      <c r="C537" t="s">
        <v>27</v>
      </c>
      <c r="D537">
        <v>142376</v>
      </c>
      <c r="E537" t="s">
        <v>423</v>
      </c>
      <c r="F537">
        <v>0.27</v>
      </c>
    </row>
    <row r="538" spans="1:6" x14ac:dyDescent="0.25">
      <c r="A538" t="s">
        <v>307</v>
      </c>
      <c r="B538">
        <v>18</v>
      </c>
      <c r="C538" t="s">
        <v>23</v>
      </c>
      <c r="D538">
        <v>128046</v>
      </c>
      <c r="E538" t="s">
        <v>424</v>
      </c>
      <c r="F538">
        <v>0.22</v>
      </c>
    </row>
    <row r="539" spans="1:6" x14ac:dyDescent="0.25">
      <c r="A539" t="s">
        <v>241</v>
      </c>
      <c r="B539">
        <v>23</v>
      </c>
      <c r="C539" t="s">
        <v>27</v>
      </c>
      <c r="D539">
        <v>144793</v>
      </c>
      <c r="E539" t="s">
        <v>425</v>
      </c>
      <c r="F539">
        <v>0.23</v>
      </c>
    </row>
    <row r="540" spans="1:6" x14ac:dyDescent="0.25">
      <c r="A540" t="s">
        <v>177</v>
      </c>
      <c r="B540">
        <v>19</v>
      </c>
      <c r="C540" t="s">
        <v>19</v>
      </c>
      <c r="D540">
        <v>123580</v>
      </c>
      <c r="E540" t="s">
        <v>426</v>
      </c>
      <c r="F540">
        <v>0.23</v>
      </c>
    </row>
    <row r="541" spans="1:6" x14ac:dyDescent="0.25">
      <c r="A541" t="s">
        <v>279</v>
      </c>
      <c r="B541">
        <v>27</v>
      </c>
      <c r="C541" t="s">
        <v>79</v>
      </c>
      <c r="D541">
        <v>172085</v>
      </c>
      <c r="E541" t="s">
        <v>426</v>
      </c>
      <c r="F541">
        <v>0.21</v>
      </c>
    </row>
    <row r="542" spans="1:6" x14ac:dyDescent="0.25">
      <c r="A542" t="s">
        <v>308</v>
      </c>
      <c r="B542">
        <v>28</v>
      </c>
      <c r="C542" t="s">
        <v>21</v>
      </c>
      <c r="D542">
        <v>167126</v>
      </c>
      <c r="E542" t="s">
        <v>423</v>
      </c>
      <c r="F542">
        <v>0.26</v>
      </c>
    </row>
    <row r="543" spans="1:6" x14ac:dyDescent="0.25">
      <c r="A543" t="s">
        <v>170</v>
      </c>
      <c r="B543">
        <v>27</v>
      </c>
      <c r="C543" t="s">
        <v>27</v>
      </c>
      <c r="D543">
        <v>169546</v>
      </c>
      <c r="E543" t="s">
        <v>422</v>
      </c>
      <c r="F543">
        <v>0.26</v>
      </c>
    </row>
    <row r="544" spans="1:6" x14ac:dyDescent="0.25">
      <c r="A544" t="s">
        <v>214</v>
      </c>
      <c r="B544">
        <v>19</v>
      </c>
      <c r="C544" t="s">
        <v>62</v>
      </c>
      <c r="D544">
        <v>196548</v>
      </c>
      <c r="E544" t="s">
        <v>422</v>
      </c>
      <c r="F544">
        <v>0.26</v>
      </c>
    </row>
    <row r="545" spans="1:6" x14ac:dyDescent="0.25">
      <c r="A545" t="s">
        <v>220</v>
      </c>
      <c r="B545">
        <v>21</v>
      </c>
      <c r="C545" t="s">
        <v>27</v>
      </c>
      <c r="D545">
        <v>161472</v>
      </c>
      <c r="E545" t="s">
        <v>424</v>
      </c>
      <c r="F545">
        <v>0.21</v>
      </c>
    </row>
    <row r="546" spans="1:6" x14ac:dyDescent="0.25">
      <c r="A546" t="s">
        <v>22</v>
      </c>
      <c r="B546">
        <v>24</v>
      </c>
      <c r="C546" t="s">
        <v>33</v>
      </c>
      <c r="D546">
        <v>199150</v>
      </c>
      <c r="E546" t="s">
        <v>423</v>
      </c>
      <c r="F546">
        <v>0.28000000000000003</v>
      </c>
    </row>
    <row r="547" spans="1:6" x14ac:dyDescent="0.25">
      <c r="A547" t="s">
        <v>409</v>
      </c>
      <c r="B547">
        <v>20</v>
      </c>
      <c r="C547" t="s">
        <v>15</v>
      </c>
      <c r="D547">
        <v>185949</v>
      </c>
      <c r="E547" t="s">
        <v>423</v>
      </c>
      <c r="F547">
        <v>0.26</v>
      </c>
    </row>
    <row r="548" spans="1:6" x14ac:dyDescent="0.25">
      <c r="A548" t="s">
        <v>415</v>
      </c>
      <c r="B548">
        <v>30</v>
      </c>
      <c r="C548" t="s">
        <v>33</v>
      </c>
      <c r="D548">
        <v>143348</v>
      </c>
      <c r="E548" t="s">
        <v>426</v>
      </c>
      <c r="F548">
        <v>0.21</v>
      </c>
    </row>
    <row r="549" spans="1:6" x14ac:dyDescent="0.25">
      <c r="A549" t="s">
        <v>153</v>
      </c>
      <c r="B549">
        <v>26</v>
      </c>
      <c r="C549" t="s">
        <v>72</v>
      </c>
      <c r="D549">
        <v>144539</v>
      </c>
      <c r="E549" t="s">
        <v>422</v>
      </c>
      <c r="F549">
        <v>0.25</v>
      </c>
    </row>
    <row r="550" spans="1:6" x14ac:dyDescent="0.25">
      <c r="A550" t="s">
        <v>37</v>
      </c>
      <c r="B550">
        <v>21</v>
      </c>
      <c r="C550" t="s">
        <v>25</v>
      </c>
      <c r="D550">
        <v>184044</v>
      </c>
      <c r="E550" t="s">
        <v>426</v>
      </c>
      <c r="F550">
        <v>0.21</v>
      </c>
    </row>
    <row r="551" spans="1:6" x14ac:dyDescent="0.25">
      <c r="A551" t="s">
        <v>150</v>
      </c>
      <c r="B551">
        <v>24</v>
      </c>
      <c r="C551" t="s">
        <v>17</v>
      </c>
      <c r="D551">
        <v>126465</v>
      </c>
      <c r="E551" t="s">
        <v>426</v>
      </c>
      <c r="F551">
        <v>0.23</v>
      </c>
    </row>
    <row r="552" spans="1:6" x14ac:dyDescent="0.25">
      <c r="A552" t="s">
        <v>222</v>
      </c>
      <c r="B552">
        <v>28</v>
      </c>
      <c r="C552" t="s">
        <v>27</v>
      </c>
      <c r="D552">
        <v>114926</v>
      </c>
      <c r="E552" t="s">
        <v>426</v>
      </c>
      <c r="F552">
        <v>0.23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4633E-C24D-4FA4-B6DE-77C9353439EB}">
  <sheetPr codeName="Sheet4"/>
  <dimension ref="A1:Q43"/>
  <sheetViews>
    <sheetView showGridLines="0" zoomScale="96" zoomScaleNormal="96" workbookViewId="0">
      <selection activeCell="F1" sqref="F1"/>
    </sheetView>
  </sheetViews>
  <sheetFormatPr defaultRowHeight="15" x14ac:dyDescent="0.25"/>
  <cols>
    <col min="1" max="5" width="9.140625" style="14"/>
    <col min="6" max="6" width="10.42578125" style="14" bestFit="1" customWidth="1"/>
    <col min="7" max="7" width="12" style="14" bestFit="1" customWidth="1"/>
    <col min="8" max="8" width="15.5703125" style="14" bestFit="1" customWidth="1"/>
    <col min="9" max="9" width="12" style="14" bestFit="1" customWidth="1"/>
    <col min="10" max="10" width="12.42578125" style="14" bestFit="1" customWidth="1"/>
    <col min="11" max="11" width="42.7109375" style="14" bestFit="1" customWidth="1"/>
    <col min="12" max="12" width="12.42578125" style="14" bestFit="1" customWidth="1"/>
    <col min="13" max="15" width="9.140625" style="14"/>
    <col min="16" max="16" width="15.5703125" style="14" bestFit="1" customWidth="1"/>
    <col min="17" max="17" width="31.140625" style="14" bestFit="1" customWidth="1"/>
    <col min="18" max="16384" width="9.140625" style="14"/>
  </cols>
  <sheetData>
    <row r="1" spans="1:13" x14ac:dyDescent="0.25">
      <c r="A1"/>
      <c r="B1"/>
      <c r="C1"/>
    </row>
    <row r="2" spans="1:13" x14ac:dyDescent="0.25">
      <c r="A2"/>
      <c r="B2"/>
      <c r="C2"/>
    </row>
    <row r="3" spans="1:13" x14ac:dyDescent="0.25">
      <c r="A3"/>
      <c r="B3"/>
      <c r="C3"/>
    </row>
    <row r="4" spans="1:13" x14ac:dyDescent="0.25">
      <c r="A4"/>
      <c r="B4"/>
      <c r="C4"/>
    </row>
    <row r="5" spans="1:13" x14ac:dyDescent="0.25">
      <c r="A5"/>
      <c r="B5"/>
      <c r="C5"/>
    </row>
    <row r="6" spans="1:13" x14ac:dyDescent="0.25">
      <c r="A6"/>
      <c r="B6"/>
      <c r="C6"/>
    </row>
    <row r="7" spans="1:13" x14ac:dyDescent="0.25">
      <c r="A7"/>
      <c r="B7"/>
      <c r="C7"/>
    </row>
    <row r="8" spans="1:13" x14ac:dyDescent="0.25">
      <c r="A8"/>
      <c r="B8"/>
      <c r="C8"/>
    </row>
    <row r="14" spans="1:13" x14ac:dyDescent="0.25">
      <c r="G14"/>
      <c r="H14" s="39" t="s">
        <v>468</v>
      </c>
      <c r="I14" s="39"/>
      <c r="J14" s="39"/>
      <c r="K14" s="39"/>
      <c r="L14"/>
      <c r="M14"/>
    </row>
    <row r="15" spans="1:13" x14ac:dyDescent="0.25">
      <c r="G15"/>
      <c r="H15"/>
      <c r="I15"/>
      <c r="J15"/>
      <c r="K15"/>
      <c r="L15"/>
      <c r="M15"/>
    </row>
    <row r="16" spans="1:13" x14ac:dyDescent="0.25">
      <c r="G16"/>
      <c r="H16"/>
      <c r="I16" s="40" t="s">
        <v>429</v>
      </c>
      <c r="J16" s="40"/>
      <c r="K16"/>
      <c r="L16"/>
      <c r="M16"/>
    </row>
    <row r="17" spans="7:17" x14ac:dyDescent="0.25">
      <c r="G17" s="12" t="s">
        <v>430</v>
      </c>
      <c r="H17" s="12"/>
      <c r="I17" s="12" t="s">
        <v>433</v>
      </c>
      <c r="J17" s="12" t="s">
        <v>434</v>
      </c>
      <c r="K17" s="12" t="s">
        <v>435</v>
      </c>
      <c r="L17" s="12" t="s">
        <v>436</v>
      </c>
      <c r="M17" s="12" t="s">
        <v>437</v>
      </c>
    </row>
    <row r="18" spans="7:17" x14ac:dyDescent="0.25">
      <c r="G18" s="12" t="s">
        <v>431</v>
      </c>
      <c r="H18" s="12"/>
      <c r="I18" s="12"/>
      <c r="J18" s="12"/>
      <c r="K18" s="12"/>
      <c r="L18" s="12"/>
      <c r="M18" s="12"/>
    </row>
    <row r="19" spans="7:17" x14ac:dyDescent="0.25">
      <c r="G19" s="12" t="s">
        <v>432</v>
      </c>
      <c r="H19" s="12"/>
      <c r="I19" s="12">
        <v>1500</v>
      </c>
      <c r="J19" s="12">
        <v>500</v>
      </c>
      <c r="K19" s="12">
        <v>2000</v>
      </c>
      <c r="L19" s="12">
        <v>1700</v>
      </c>
      <c r="M19" s="12">
        <v>15000</v>
      </c>
    </row>
    <row r="20" spans="7:17" x14ac:dyDescent="0.25">
      <c r="G20"/>
      <c r="H20"/>
      <c r="I20"/>
      <c r="J20"/>
      <c r="K20"/>
      <c r="L20"/>
      <c r="M20"/>
      <c r="P20" s="15"/>
      <c r="Q20" s="15"/>
    </row>
    <row r="21" spans="7:17" x14ac:dyDescent="0.25">
      <c r="G21"/>
      <c r="H21" t="s">
        <v>438</v>
      </c>
      <c r="I21"/>
      <c r="J21"/>
      <c r="K21" s="17"/>
      <c r="L21"/>
      <c r="M21"/>
      <c r="P21" s="15" t="s">
        <v>456</v>
      </c>
      <c r="Q21" s="15">
        <f>K21</f>
        <v>0</v>
      </c>
    </row>
    <row r="22" spans="7:17" x14ac:dyDescent="0.25">
      <c r="G22"/>
      <c r="H22"/>
      <c r="I22"/>
      <c r="J22"/>
      <c r="K22"/>
      <c r="L22"/>
      <c r="M22"/>
      <c r="P22" s="15" t="s">
        <v>457</v>
      </c>
      <c r="Q22" s="15">
        <f>K23</f>
        <v>0</v>
      </c>
    </row>
    <row r="23" spans="7:17" x14ac:dyDescent="0.25">
      <c r="G23"/>
      <c r="H23" t="s">
        <v>439</v>
      </c>
      <c r="I23"/>
      <c r="J23"/>
      <c r="K23" s="18"/>
      <c r="L23"/>
      <c r="M23"/>
      <c r="P23" s="15" t="s">
        <v>440</v>
      </c>
      <c r="Q23" s="15">
        <f>K25</f>
        <v>0</v>
      </c>
    </row>
    <row r="24" spans="7:17" x14ac:dyDescent="0.25">
      <c r="G24"/>
      <c r="H24"/>
      <c r="I24"/>
      <c r="J24"/>
      <c r="K24"/>
      <c r="L24"/>
      <c r="M24"/>
      <c r="P24" s="15" t="s">
        <v>441</v>
      </c>
      <c r="Q24" s="16">
        <f ca="1">K27</f>
        <v>46153.507800231484</v>
      </c>
    </row>
    <row r="25" spans="7:17" x14ac:dyDescent="0.25">
      <c r="G25"/>
      <c r="H25" t="s">
        <v>440</v>
      </c>
      <c r="I25"/>
      <c r="J25"/>
      <c r="K25" s="18"/>
      <c r="L25"/>
      <c r="M25"/>
      <c r="P25" s="15" t="s">
        <v>442</v>
      </c>
      <c r="Q25" s="15">
        <f>K29</f>
        <v>0</v>
      </c>
    </row>
    <row r="26" spans="7:17" x14ac:dyDescent="0.25">
      <c r="G26"/>
      <c r="H26"/>
      <c r="I26"/>
      <c r="J26"/>
      <c r="K26"/>
      <c r="L26"/>
      <c r="M26"/>
      <c r="P26" s="15" t="s">
        <v>431</v>
      </c>
      <c r="Q26" s="15">
        <f>K31</f>
        <v>0</v>
      </c>
    </row>
    <row r="27" spans="7:17" x14ac:dyDescent="0.25">
      <c r="G27"/>
      <c r="H27" t="s">
        <v>441</v>
      </c>
      <c r="I27"/>
      <c r="J27"/>
      <c r="K27" s="19">
        <f ca="1">NOW()</f>
        <v>46153.507800231484</v>
      </c>
      <c r="L27"/>
      <c r="M27"/>
      <c r="P27" s="15" t="s">
        <v>443</v>
      </c>
      <c r="Q27" s="15">
        <f>K33</f>
        <v>0</v>
      </c>
    </row>
    <row r="28" spans="7:17" x14ac:dyDescent="0.25">
      <c r="G28"/>
      <c r="H28"/>
      <c r="I28"/>
      <c r="J28"/>
      <c r="K28"/>
      <c r="L28"/>
      <c r="M28"/>
      <c r="P28" s="15" t="s">
        <v>444</v>
      </c>
      <c r="Q28" s="15">
        <f>K35</f>
        <v>0</v>
      </c>
    </row>
    <row r="29" spans="7:17" x14ac:dyDescent="0.25">
      <c r="G29"/>
      <c r="H29" t="s">
        <v>442</v>
      </c>
      <c r="I29"/>
      <c r="J29"/>
      <c r="K29" s="18"/>
      <c r="L29"/>
      <c r="M29"/>
      <c r="P29" s="15" t="s">
        <v>445</v>
      </c>
      <c r="Q29" s="15">
        <f>K37</f>
        <v>0</v>
      </c>
    </row>
    <row r="30" spans="7:17" x14ac:dyDescent="0.25">
      <c r="G30"/>
      <c r="H30"/>
      <c r="I30"/>
      <c r="J30"/>
      <c r="K30"/>
      <c r="L30"/>
      <c r="M30"/>
      <c r="P30" s="15" t="s">
        <v>446</v>
      </c>
      <c r="Q30" s="15">
        <f>K39</f>
        <v>0</v>
      </c>
    </row>
    <row r="31" spans="7:17" x14ac:dyDescent="0.25">
      <c r="G31"/>
      <c r="H31" t="s">
        <v>431</v>
      </c>
      <c r="I31"/>
      <c r="J31"/>
      <c r="K31" s="18"/>
      <c r="L31"/>
      <c r="M31"/>
      <c r="P31" s="15" t="s">
        <v>447</v>
      </c>
      <c r="Q31" s="15">
        <f>K41</f>
        <v>0</v>
      </c>
    </row>
    <row r="32" spans="7:17" x14ac:dyDescent="0.25">
      <c r="G32"/>
      <c r="H32"/>
      <c r="I32"/>
      <c r="J32"/>
      <c r="K32"/>
      <c r="L32"/>
      <c r="M32"/>
    </row>
    <row r="33" spans="7:13" x14ac:dyDescent="0.25">
      <c r="G33"/>
      <c r="H33" t="s">
        <v>443</v>
      </c>
      <c r="I33"/>
      <c r="J33"/>
      <c r="K33" s="18"/>
      <c r="L33"/>
      <c r="M33"/>
    </row>
    <row r="34" spans="7:13" x14ac:dyDescent="0.25">
      <c r="G34"/>
      <c r="H34"/>
      <c r="I34"/>
      <c r="J34"/>
      <c r="K34"/>
      <c r="L34"/>
      <c r="M34"/>
    </row>
    <row r="35" spans="7:13" x14ac:dyDescent="0.25">
      <c r="G35"/>
      <c r="H35" t="s">
        <v>444</v>
      </c>
      <c r="I35"/>
      <c r="J35"/>
      <c r="K35" s="18">
        <f>SUMPRODUCT(I18:M18,I19:M19)</f>
        <v>0</v>
      </c>
      <c r="L35"/>
      <c r="M35"/>
    </row>
    <row r="36" spans="7:13" x14ac:dyDescent="0.25">
      <c r="G36"/>
      <c r="H36"/>
      <c r="I36"/>
      <c r="J36"/>
      <c r="K36"/>
      <c r="L36"/>
      <c r="M36"/>
    </row>
    <row r="37" spans="7:13" x14ac:dyDescent="0.25">
      <c r="G37"/>
      <c r="H37" t="s">
        <v>445</v>
      </c>
      <c r="I37"/>
      <c r="J37"/>
      <c r="K37" s="18"/>
      <c r="L37"/>
      <c r="M37"/>
    </row>
    <row r="38" spans="7:13" x14ac:dyDescent="0.25">
      <c r="G38"/>
      <c r="H38"/>
      <c r="I38"/>
      <c r="J38"/>
      <c r="K38"/>
      <c r="L38"/>
      <c r="M38"/>
    </row>
    <row r="39" spans="7:13" x14ac:dyDescent="0.25">
      <c r="G39"/>
      <c r="H39" t="s">
        <v>446</v>
      </c>
      <c r="I39"/>
      <c r="J39"/>
      <c r="K39" s="18"/>
      <c r="L39"/>
      <c r="M39"/>
    </row>
    <row r="40" spans="7:13" x14ac:dyDescent="0.25">
      <c r="G40"/>
      <c r="H40"/>
      <c r="I40"/>
      <c r="J40"/>
      <c r="K40"/>
      <c r="L40"/>
      <c r="M40"/>
    </row>
    <row r="41" spans="7:13" x14ac:dyDescent="0.25">
      <c r="G41"/>
      <c r="H41" t="s">
        <v>447</v>
      </c>
      <c r="I41"/>
      <c r="J41"/>
      <c r="K41" s="18"/>
      <c r="L41"/>
      <c r="M41"/>
    </row>
    <row r="42" spans="7:13" x14ac:dyDescent="0.25">
      <c r="G42"/>
      <c r="H42"/>
      <c r="I42"/>
      <c r="J42"/>
      <c r="K42"/>
      <c r="L42"/>
      <c r="M42"/>
    </row>
    <row r="43" spans="7:13" x14ac:dyDescent="0.25">
      <c r="G43"/>
      <c r="H43"/>
      <c r="I43"/>
      <c r="J43"/>
      <c r="K43"/>
      <c r="L43"/>
      <c r="M43"/>
    </row>
  </sheetData>
  <sheetProtection algorithmName="SHA-512" hashValue="JzQygXQCJOK21Ss7C9lYbaoTfQXN9y+dGN8PPCYJxYiWxvdQxhQIQN/eqYHZTKcKv+wPCQqA40bbmI75KP+wmg==" saltValue="ujmXulddoxo2Ihoc/HQ3Xw==" spinCount="100000" sheet="1" objects="1" scenarios="1"/>
  <mergeCells count="2">
    <mergeCell ref="H14:K14"/>
    <mergeCell ref="I16:J16"/>
  </mergeCells>
  <dataValidations count="2">
    <dataValidation type="list" allowBlank="1" showInputMessage="1" showErrorMessage="1" error="NOT ACCEPTED" sqref="K37" xr:uid="{27216703-4875-47D0-A118-3D6F700900C3}">
      <formula1>"CARD, CASH, TRANSFER."</formula1>
    </dataValidation>
    <dataValidation type="list" allowBlank="1" showInputMessage="1" showErrorMessage="1" error="NOT AVAILABLE" sqref="K39" xr:uid="{71486B89-A349-4664-8E5D-C0BC7266CE23}">
      <formula1>"PERSONAL PICKUP, UBER, Gokada,DRONE"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AISHAT">
                <anchor moveWithCells="1">
                  <from>
                    <xdr:col>9</xdr:col>
                    <xdr:colOff>485775</xdr:colOff>
                    <xdr:row>42</xdr:row>
                    <xdr:rowOff>95250</xdr:rowOff>
                  </from>
                  <to>
                    <xdr:col>10</xdr:col>
                    <xdr:colOff>981075</xdr:colOff>
                    <xdr:row>44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4070-3AD2-4CE5-B4B8-531B37D7051D}">
  <sheetPr codeName="Sheet5"/>
  <dimension ref="E3:O17"/>
  <sheetViews>
    <sheetView topLeftCell="C1" workbookViewId="0">
      <selection activeCell="I17" sqref="I17"/>
    </sheetView>
  </sheetViews>
  <sheetFormatPr defaultRowHeight="15" x14ac:dyDescent="0.25"/>
  <cols>
    <col min="5" max="5" width="20.28515625" bestFit="1" customWidth="1"/>
    <col min="6" max="6" width="12" bestFit="1" customWidth="1"/>
    <col min="7" max="7" width="9" bestFit="1" customWidth="1"/>
    <col min="8" max="8" width="16.140625" bestFit="1" customWidth="1"/>
    <col min="9" max="9" width="55" bestFit="1" customWidth="1"/>
    <col min="10" max="10" width="11" bestFit="1" customWidth="1"/>
    <col min="11" max="11" width="25.5703125" bestFit="1" customWidth="1"/>
    <col min="13" max="13" width="15.5703125" bestFit="1" customWidth="1"/>
    <col min="14" max="14" width="17.42578125" bestFit="1" customWidth="1"/>
    <col min="15" max="15" width="9.85546875" bestFit="1" customWidth="1"/>
  </cols>
  <sheetData>
    <row r="3" spans="5:15" x14ac:dyDescent="0.25">
      <c r="E3" s="42" t="s">
        <v>459</v>
      </c>
      <c r="F3" s="42"/>
      <c r="G3" s="42"/>
      <c r="H3" s="42"/>
    </row>
    <row r="4" spans="5:15" x14ac:dyDescent="0.25">
      <c r="E4" t="s">
        <v>469</v>
      </c>
      <c r="F4">
        <v>9041812025</v>
      </c>
      <c r="G4" t="s">
        <v>470</v>
      </c>
      <c r="H4" s="13">
        <v>46132.566052083333</v>
      </c>
      <c r="I4" t="s">
        <v>471</v>
      </c>
      <c r="J4" t="s">
        <v>472</v>
      </c>
      <c r="K4" t="s">
        <v>473</v>
      </c>
      <c r="L4">
        <v>44400</v>
      </c>
      <c r="M4" t="s">
        <v>465</v>
      </c>
      <c r="N4" t="s">
        <v>454</v>
      </c>
      <c r="O4" t="s">
        <v>474</v>
      </c>
    </row>
    <row r="8" spans="5:15" x14ac:dyDescent="0.25">
      <c r="E8" s="41" t="s">
        <v>458</v>
      </c>
      <c r="F8" s="41"/>
      <c r="G8" s="41"/>
      <c r="H8" s="41"/>
    </row>
    <row r="9" spans="5:15" x14ac:dyDescent="0.25">
      <c r="E9" t="s">
        <v>456</v>
      </c>
      <c r="F9" t="s">
        <v>457</v>
      </c>
      <c r="G9" t="s">
        <v>440</v>
      </c>
      <c r="H9" t="s">
        <v>441</v>
      </c>
      <c r="I9" t="s">
        <v>442</v>
      </c>
      <c r="J9" t="s">
        <v>431</v>
      </c>
      <c r="K9" t="s">
        <v>443</v>
      </c>
      <c r="L9" t="s">
        <v>444</v>
      </c>
      <c r="M9" t="s">
        <v>445</v>
      </c>
      <c r="N9" t="s">
        <v>446</v>
      </c>
      <c r="O9" t="s">
        <v>447</v>
      </c>
    </row>
    <row r="10" spans="5:15" x14ac:dyDescent="0.25">
      <c r="E10" t="s">
        <v>469</v>
      </c>
      <c r="F10">
        <v>9041812025</v>
      </c>
      <c r="G10" t="s">
        <v>470</v>
      </c>
      <c r="H10" s="13">
        <v>46132.566052083333</v>
      </c>
      <c r="I10" t="s">
        <v>471</v>
      </c>
      <c r="J10" t="s">
        <v>472</v>
      </c>
      <c r="K10" t="s">
        <v>473</v>
      </c>
      <c r="L10">
        <v>44400</v>
      </c>
      <c r="M10" t="s">
        <v>465</v>
      </c>
      <c r="N10" t="s">
        <v>454</v>
      </c>
      <c r="O10" t="s">
        <v>474</v>
      </c>
    </row>
    <row r="11" spans="5:15" x14ac:dyDescent="0.25">
      <c r="H11" s="13"/>
    </row>
    <row r="12" spans="5:15" x14ac:dyDescent="0.25">
      <c r="E12" t="s">
        <v>460</v>
      </c>
      <c r="F12">
        <v>90678888234</v>
      </c>
      <c r="G12" t="s">
        <v>461</v>
      </c>
      <c r="H12" s="13">
        <v>46132.548423263899</v>
      </c>
      <c r="I12" t="s">
        <v>462</v>
      </c>
      <c r="J12" t="s">
        <v>463</v>
      </c>
      <c r="K12" t="s">
        <v>464</v>
      </c>
      <c r="L12">
        <v>55000</v>
      </c>
      <c r="M12" t="s">
        <v>465</v>
      </c>
      <c r="N12" t="s">
        <v>466</v>
      </c>
      <c r="O12" t="s">
        <v>467</v>
      </c>
    </row>
    <row r="13" spans="5:15" x14ac:dyDescent="0.25">
      <c r="E13" t="s">
        <v>448</v>
      </c>
      <c r="F13">
        <v>9098109252</v>
      </c>
      <c r="G13" t="s">
        <v>449</v>
      </c>
      <c r="H13" s="13">
        <v>46132.539343055556</v>
      </c>
      <c r="I13" t="s">
        <v>450</v>
      </c>
      <c r="J13" t="s">
        <v>451</v>
      </c>
      <c r="K13" t="s">
        <v>452</v>
      </c>
      <c r="L13">
        <v>22000</v>
      </c>
      <c r="M13" t="s">
        <v>453</v>
      </c>
      <c r="N13" t="s">
        <v>454</v>
      </c>
      <c r="O13" t="s">
        <v>455</v>
      </c>
    </row>
    <row r="17" spans="9:9" x14ac:dyDescent="0.25">
      <c r="I17" t="s">
        <v>475</v>
      </c>
    </row>
  </sheetData>
  <mergeCells count="2">
    <mergeCell ref="E8:H8"/>
    <mergeCell ref="E3:H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1AE1-316F-4D1A-95D2-BADA857C2581}">
  <sheetPr codeName="Sheet6"/>
  <dimension ref="D8:N24"/>
  <sheetViews>
    <sheetView showGridLines="0" workbookViewId="0">
      <selection sqref="A1:XFD5"/>
    </sheetView>
  </sheetViews>
  <sheetFormatPr defaultRowHeight="15" x14ac:dyDescent="0.25"/>
  <cols>
    <col min="4" max="4" width="15.7109375" bestFit="1" customWidth="1"/>
    <col min="6" max="6" width="19.7109375" bestFit="1" customWidth="1"/>
    <col min="7" max="7" width="12" bestFit="1" customWidth="1"/>
    <col min="13" max="13" width="10.5703125" bestFit="1" customWidth="1"/>
    <col min="14" max="14" width="11" bestFit="1" customWidth="1"/>
  </cols>
  <sheetData>
    <row r="8" spans="4:14" x14ac:dyDescent="0.25">
      <c r="F8" t="s">
        <v>429</v>
      </c>
    </row>
    <row r="9" spans="4:14" x14ac:dyDescent="0.25">
      <c r="J9" s="23"/>
    </row>
    <row r="10" spans="4:14" x14ac:dyDescent="0.25">
      <c r="D10" t="s">
        <v>476</v>
      </c>
    </row>
    <row r="12" spans="4:14" x14ac:dyDescent="0.25">
      <c r="D12" t="s">
        <v>456</v>
      </c>
      <c r="G12" s="24"/>
    </row>
    <row r="13" spans="4:14" x14ac:dyDescent="0.25">
      <c r="M13" s="22" t="s">
        <v>456</v>
      </c>
      <c r="N13" s="22">
        <f>G12</f>
        <v>0</v>
      </c>
    </row>
    <row r="14" spans="4:14" x14ac:dyDescent="0.25">
      <c r="D14" t="s">
        <v>477</v>
      </c>
      <c r="G14" s="24"/>
      <c r="M14" s="22" t="s">
        <v>479</v>
      </c>
      <c r="N14" s="22">
        <f>G14</f>
        <v>0</v>
      </c>
    </row>
    <row r="15" spans="4:14" x14ac:dyDescent="0.25">
      <c r="M15" s="22" t="s">
        <v>478</v>
      </c>
      <c r="N15" s="22">
        <f>G16</f>
        <v>0</v>
      </c>
    </row>
    <row r="16" spans="4:14" x14ac:dyDescent="0.25">
      <c r="D16" t="s">
        <v>478</v>
      </c>
      <c r="G16" s="24"/>
      <c r="M16" s="22" t="s">
        <v>431</v>
      </c>
      <c r="N16" s="22">
        <f>G18</f>
        <v>0</v>
      </c>
    </row>
    <row r="17" spans="4:14" x14ac:dyDescent="0.25">
      <c r="M17" s="22" t="s">
        <v>432</v>
      </c>
      <c r="N17" s="22">
        <f>G20</f>
        <v>0</v>
      </c>
    </row>
    <row r="18" spans="4:14" x14ac:dyDescent="0.25">
      <c r="D18" t="s">
        <v>431</v>
      </c>
      <c r="G18" s="24"/>
      <c r="M18" s="22" t="s">
        <v>444</v>
      </c>
      <c r="N18" s="22">
        <f>G22</f>
        <v>0</v>
      </c>
    </row>
    <row r="19" spans="4:14" x14ac:dyDescent="0.25">
      <c r="M19" s="22" t="s">
        <v>480</v>
      </c>
      <c r="N19" s="22">
        <f>G24</f>
        <v>0</v>
      </c>
    </row>
    <row r="20" spans="4:14" x14ac:dyDescent="0.25">
      <c r="D20" t="s">
        <v>432</v>
      </c>
      <c r="G20" s="24"/>
    </row>
    <row r="22" spans="4:14" x14ac:dyDescent="0.25">
      <c r="D22" t="s">
        <v>444</v>
      </c>
      <c r="G22" s="24">
        <f>G18*G20</f>
        <v>0</v>
      </c>
    </row>
    <row r="24" spans="4:14" x14ac:dyDescent="0.25">
      <c r="D24" t="s">
        <v>447</v>
      </c>
      <c r="G24" s="24"/>
    </row>
  </sheetData>
  <dataValidations count="1">
    <dataValidation type="list" allowBlank="1" showInputMessage="1" showErrorMessage="1" error="PRODUCT NOT AVAILABLE" prompt="AVAILABLE PRODUCT" sqref="G16" xr:uid="{B74282E9-E465-434A-BB67-132A7930CFEE}">
      <formula1>"COKE, WATER, MALT, FANTA,PEPSI"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19A56-C1BE-40C6-B710-BD62DCB76D1F}">
  <sheetPr codeName="Sheet8"/>
  <dimension ref="G5:M10"/>
  <sheetViews>
    <sheetView workbookViewId="0">
      <selection activeCell="C9" sqref="C9"/>
    </sheetView>
  </sheetViews>
  <sheetFormatPr defaultRowHeight="15" x14ac:dyDescent="0.25"/>
  <cols>
    <col min="7" max="7" width="11.5703125" bestFit="1" customWidth="1"/>
    <col min="8" max="8" width="11" bestFit="1" customWidth="1"/>
    <col min="9" max="9" width="9.42578125" bestFit="1" customWidth="1"/>
    <col min="10" max="10" width="10" bestFit="1" customWidth="1"/>
    <col min="11" max="11" width="6" bestFit="1" customWidth="1"/>
    <col min="13" max="13" width="10.28515625" bestFit="1" customWidth="1"/>
  </cols>
  <sheetData>
    <row r="5" spans="7:13" x14ac:dyDescent="0.25">
      <c r="G5" t="s">
        <v>490</v>
      </c>
      <c r="H5">
        <v>8654393866</v>
      </c>
      <c r="I5" t="s">
        <v>482</v>
      </c>
      <c r="J5">
        <v>2</v>
      </c>
      <c r="K5">
        <v>600</v>
      </c>
      <c r="L5">
        <v>1200</v>
      </c>
      <c r="M5" t="s">
        <v>485</v>
      </c>
    </row>
    <row r="7" spans="7:13" x14ac:dyDescent="0.25">
      <c r="I7" s="43" t="s">
        <v>458</v>
      </c>
      <c r="J7" s="43"/>
      <c r="K7" s="43"/>
    </row>
    <row r="8" spans="7:13" x14ac:dyDescent="0.25">
      <c r="G8" t="s">
        <v>456</v>
      </c>
      <c r="H8" t="s">
        <v>479</v>
      </c>
      <c r="I8" t="s">
        <v>478</v>
      </c>
      <c r="J8" t="s">
        <v>431</v>
      </c>
      <c r="K8" t="s">
        <v>432</v>
      </c>
      <c r="L8" t="s">
        <v>444</v>
      </c>
      <c r="M8" t="s">
        <v>480</v>
      </c>
    </row>
    <row r="9" spans="7:13" x14ac:dyDescent="0.25">
      <c r="G9" t="s">
        <v>490</v>
      </c>
      <c r="H9">
        <v>8654393866</v>
      </c>
      <c r="I9" t="s">
        <v>482</v>
      </c>
      <c r="J9">
        <v>2</v>
      </c>
      <c r="K9">
        <v>600</v>
      </c>
      <c r="L9">
        <v>1200</v>
      </c>
      <c r="M9" t="s">
        <v>485</v>
      </c>
    </row>
    <row r="10" spans="7:13" x14ac:dyDescent="0.25">
      <c r="G10" t="s">
        <v>488</v>
      </c>
      <c r="H10">
        <v>875435656</v>
      </c>
      <c r="I10" t="s">
        <v>481</v>
      </c>
      <c r="J10">
        <v>5</v>
      </c>
      <c r="K10">
        <v>250</v>
      </c>
      <c r="L10">
        <v>1250</v>
      </c>
      <c r="M10" t="s">
        <v>489</v>
      </c>
    </row>
  </sheetData>
  <mergeCells count="1">
    <mergeCell ref="I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3769-52A1-4082-8A34-4DD12AA27227}">
  <sheetPr codeName="Sheet9"/>
  <dimension ref="E1:O34"/>
  <sheetViews>
    <sheetView showGridLines="0" tabSelected="1" zoomScale="76" zoomScaleNormal="76" workbookViewId="0">
      <selection activeCell="R14" sqref="R14"/>
    </sheetView>
  </sheetViews>
  <sheetFormatPr defaultRowHeight="15" x14ac:dyDescent="0.25"/>
  <cols>
    <col min="1" max="5" width="9.140625" style="31"/>
    <col min="6" max="6" width="19.42578125" style="31" bestFit="1" customWidth="1"/>
    <col min="7" max="7" width="9.140625" style="31"/>
    <col min="8" max="8" width="16" style="31" bestFit="1" customWidth="1"/>
    <col min="9" max="9" width="9.140625" style="31"/>
    <col min="10" max="10" width="9.85546875" style="31" customWidth="1"/>
    <col min="11" max="13" width="9.140625" style="31"/>
    <col min="14" max="14" width="19.42578125" style="31" bestFit="1" customWidth="1"/>
    <col min="15" max="15" width="14.85546875" style="31" bestFit="1" customWidth="1"/>
    <col min="16" max="16384" width="9.140625" style="31"/>
  </cols>
  <sheetData>
    <row r="1" spans="5:15" x14ac:dyDescent="0.25">
      <c r="K1" s="31" t="s">
        <v>491</v>
      </c>
    </row>
    <row r="4" spans="5:15" x14ac:dyDescent="0.25">
      <c r="E4"/>
      <c r="F4"/>
      <c r="G4" s="44"/>
      <c r="H4" s="44"/>
      <c r="I4" s="44"/>
      <c r="J4"/>
    </row>
    <row r="5" spans="5:15" x14ac:dyDescent="0.25">
      <c r="E5"/>
      <c r="F5"/>
      <c r="G5" s="45"/>
      <c r="H5" s="45"/>
      <c r="I5"/>
      <c r="J5"/>
    </row>
    <row r="6" spans="5:15" x14ac:dyDescent="0.25">
      <c r="E6" s="12" t="s">
        <v>478</v>
      </c>
      <c r="F6" s="20" t="s">
        <v>487</v>
      </c>
      <c r="G6" s="12" t="s">
        <v>481</v>
      </c>
      <c r="H6" s="12" t="s">
        <v>482</v>
      </c>
      <c r="I6" s="12" t="s">
        <v>486</v>
      </c>
      <c r="J6" s="12" t="s">
        <v>484</v>
      </c>
    </row>
    <row r="7" spans="5:15" x14ac:dyDescent="0.25">
      <c r="E7" s="12" t="s">
        <v>431</v>
      </c>
      <c r="F7" s="30"/>
      <c r="G7" s="30"/>
      <c r="H7" s="30"/>
      <c r="I7" s="30"/>
      <c r="J7" s="30"/>
    </row>
    <row r="8" spans="5:15" x14ac:dyDescent="0.25">
      <c r="E8" s="12" t="s">
        <v>432</v>
      </c>
      <c r="F8" s="12">
        <v>500</v>
      </c>
      <c r="G8" s="12">
        <v>250</v>
      </c>
      <c r="H8" s="12">
        <v>750</v>
      </c>
      <c r="I8" s="12">
        <v>500</v>
      </c>
      <c r="J8" s="12">
        <v>500</v>
      </c>
    </row>
    <row r="9" spans="5:15" x14ac:dyDescent="0.25">
      <c r="E9"/>
      <c r="F9"/>
      <c r="G9"/>
      <c r="H9"/>
      <c r="I9"/>
      <c r="J9"/>
    </row>
    <row r="10" spans="5:15" x14ac:dyDescent="0.25">
      <c r="E10"/>
      <c r="F10" s="27" t="s">
        <v>476</v>
      </c>
      <c r="G10"/>
      <c r="H10"/>
      <c r="I10"/>
      <c r="J10"/>
    </row>
    <row r="11" spans="5:15" x14ac:dyDescent="0.25">
      <c r="E11"/>
      <c r="F11"/>
      <c r="G11"/>
      <c r="H11"/>
      <c r="I11"/>
      <c r="J11"/>
    </row>
    <row r="12" spans="5:15" ht="15.75" thickBot="1" x14ac:dyDescent="0.3">
      <c r="E12"/>
      <c r="F12" t="s">
        <v>456</v>
      </c>
      <c r="G12"/>
      <c r="H12" s="25"/>
      <c r="I12"/>
      <c r="J12"/>
    </row>
    <row r="13" spans="5:15" x14ac:dyDescent="0.25">
      <c r="E13"/>
      <c r="F13"/>
      <c r="G13"/>
      <c r="H13"/>
      <c r="I13"/>
      <c r="J13"/>
      <c r="N13" s="32" t="s">
        <v>456</v>
      </c>
      <c r="O13" s="33">
        <f>H12</f>
        <v>0</v>
      </c>
    </row>
    <row r="14" spans="5:15" x14ac:dyDescent="0.25">
      <c r="E14"/>
      <c r="F14" t="s">
        <v>479</v>
      </c>
      <c r="G14"/>
      <c r="H14" s="25"/>
      <c r="I14"/>
      <c r="J14"/>
      <c r="N14" s="34" t="s">
        <v>479</v>
      </c>
      <c r="O14" s="35">
        <f>H14</f>
        <v>0</v>
      </c>
    </row>
    <row r="15" spans="5:15" x14ac:dyDescent="0.25">
      <c r="E15"/>
      <c r="F15"/>
      <c r="G15"/>
      <c r="H15"/>
      <c r="I15"/>
      <c r="J15"/>
      <c r="N15" s="34" t="s">
        <v>478</v>
      </c>
      <c r="O15" s="35">
        <f>H16</f>
        <v>0</v>
      </c>
    </row>
    <row r="16" spans="5:15" x14ac:dyDescent="0.25">
      <c r="E16"/>
      <c r="F16" t="s">
        <v>478</v>
      </c>
      <c r="G16"/>
      <c r="H16" s="25"/>
      <c r="I16"/>
      <c r="J16"/>
      <c r="N16" s="34" t="s">
        <v>431</v>
      </c>
      <c r="O16" s="35">
        <f>H18</f>
        <v>0</v>
      </c>
    </row>
    <row r="17" spans="5:15" x14ac:dyDescent="0.25">
      <c r="E17"/>
      <c r="F17"/>
      <c r="G17"/>
      <c r="H17"/>
      <c r="I17"/>
      <c r="J17"/>
      <c r="N17" s="34" t="s">
        <v>432</v>
      </c>
      <c r="O17" s="35">
        <f>H20</f>
        <v>0</v>
      </c>
    </row>
    <row r="18" spans="5:15" x14ac:dyDescent="0.25">
      <c r="E18"/>
      <c r="F18" t="s">
        <v>431</v>
      </c>
      <c r="G18"/>
      <c r="H18" s="25"/>
      <c r="I18"/>
      <c r="J18"/>
      <c r="N18" s="34" t="s">
        <v>492</v>
      </c>
      <c r="O18" s="35">
        <f>H22</f>
        <v>0</v>
      </c>
    </row>
    <row r="19" spans="5:15" x14ac:dyDescent="0.25">
      <c r="E19"/>
      <c r="F19"/>
      <c r="G19"/>
      <c r="H19"/>
      <c r="I19"/>
      <c r="J19"/>
      <c r="N19" s="34" t="s">
        <v>494</v>
      </c>
      <c r="O19" s="35">
        <f>H24</f>
        <v>0</v>
      </c>
    </row>
    <row r="20" spans="5:15" x14ac:dyDescent="0.25">
      <c r="E20"/>
      <c r="F20" t="s">
        <v>432</v>
      </c>
      <c r="G20"/>
      <c r="H20" s="25"/>
      <c r="I20"/>
      <c r="J20"/>
      <c r="N20" s="34" t="s">
        <v>495</v>
      </c>
      <c r="O20" s="35">
        <f>H26</f>
        <v>0</v>
      </c>
    </row>
    <row r="21" spans="5:15" x14ac:dyDescent="0.25">
      <c r="E21"/>
      <c r="F21"/>
      <c r="G21"/>
      <c r="H21"/>
      <c r="I21"/>
      <c r="J21"/>
      <c r="N21" s="34" t="s">
        <v>441</v>
      </c>
      <c r="O21" s="36">
        <f ca="1">H28</f>
        <v>46153.507800231484</v>
      </c>
    </row>
    <row r="22" spans="5:15" ht="15.75" thickBot="1" x14ac:dyDescent="0.3">
      <c r="E22"/>
      <c r="F22" t="s">
        <v>492</v>
      </c>
      <c r="G22"/>
      <c r="H22" s="29">
        <f>IF(H24&lt;20000,H24*0,IF(H24&lt;50000,H24*0.01,H24*0.02))</f>
        <v>0</v>
      </c>
      <c r="I22"/>
      <c r="J22"/>
      <c r="N22" s="37" t="s">
        <v>447</v>
      </c>
      <c r="O22" s="38" t="str">
        <f>H30</f>
        <v>T0LU</v>
      </c>
    </row>
    <row r="23" spans="5:15" x14ac:dyDescent="0.25">
      <c r="E23"/>
      <c r="F23"/>
      <c r="G23"/>
      <c r="H23"/>
      <c r="I23"/>
      <c r="J23"/>
    </row>
    <row r="24" spans="5:15" x14ac:dyDescent="0.25">
      <c r="E24"/>
      <c r="F24" t="s">
        <v>494</v>
      </c>
      <c r="G24"/>
      <c r="H24" s="29">
        <f>SUMPRODUCT(F7:J7,F8:J8)</f>
        <v>0</v>
      </c>
      <c r="I24"/>
      <c r="J24"/>
    </row>
    <row r="25" spans="5:15" x14ac:dyDescent="0.25">
      <c r="E25"/>
      <c r="F25"/>
      <c r="G25"/>
      <c r="H25"/>
      <c r="I25"/>
      <c r="J25"/>
    </row>
    <row r="26" spans="5:15" x14ac:dyDescent="0.25">
      <c r="E26"/>
      <c r="F26" t="s">
        <v>495</v>
      </c>
      <c r="G26"/>
      <c r="H26" s="29">
        <f>H24-H22</f>
        <v>0</v>
      </c>
      <c r="I26"/>
      <c r="J26"/>
    </row>
    <row r="27" spans="5:15" x14ac:dyDescent="0.25">
      <c r="E27"/>
      <c r="F27"/>
      <c r="G27"/>
      <c r="H27"/>
      <c r="I27"/>
      <c r="J27"/>
    </row>
    <row r="28" spans="5:15" x14ac:dyDescent="0.25">
      <c r="E28"/>
      <c r="F28" t="s">
        <v>441</v>
      </c>
      <c r="G28"/>
      <c r="H28" s="28">
        <f ca="1">NOW()</f>
        <v>46153.507800231484</v>
      </c>
      <c r="I28"/>
      <c r="J28"/>
    </row>
    <row r="29" spans="5:15" x14ac:dyDescent="0.25">
      <c r="E29"/>
      <c r="F29"/>
      <c r="G29"/>
      <c r="H29"/>
      <c r="I29"/>
      <c r="J29"/>
    </row>
    <row r="30" spans="5:15" x14ac:dyDescent="0.25">
      <c r="E30"/>
      <c r="F30" t="s">
        <v>447</v>
      </c>
      <c r="G30"/>
      <c r="H30" s="26" t="s">
        <v>497</v>
      </c>
      <c r="I30"/>
      <c r="J30"/>
    </row>
    <row r="31" spans="5:15" x14ac:dyDescent="0.25">
      <c r="E31"/>
      <c r="F31"/>
      <c r="G31"/>
      <c r="H31"/>
      <c r="I31"/>
      <c r="J31"/>
    </row>
    <row r="32" spans="5:15" x14ac:dyDescent="0.25">
      <c r="E32"/>
      <c r="F32"/>
      <c r="G32"/>
      <c r="H32" s="23"/>
      <c r="I32"/>
      <c r="J32"/>
    </row>
    <row r="33" spans="5:10" x14ac:dyDescent="0.25">
      <c r="E33"/>
      <c r="F33"/>
      <c r="G33"/>
      <c r="H33"/>
      <c r="I33"/>
      <c r="J33"/>
    </row>
    <row r="34" spans="5:10" x14ac:dyDescent="0.25">
      <c r="E34"/>
      <c r="F34"/>
      <c r="G34"/>
      <c r="H34"/>
      <c r="I34"/>
      <c r="J3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05991-EA57-4AF9-A278-8FD989EACE2C}">
  <sheetPr codeName="Sheet10"/>
  <dimension ref="H4:R16"/>
  <sheetViews>
    <sheetView topLeftCell="F1" workbookViewId="0">
      <selection activeCell="J7" sqref="J7"/>
    </sheetView>
  </sheetViews>
  <sheetFormatPr defaultRowHeight="15" x14ac:dyDescent="0.25"/>
  <cols>
    <col min="8" max="8" width="9" bestFit="1" customWidth="1"/>
    <col min="9" max="9" width="12" bestFit="1" customWidth="1"/>
    <col min="10" max="10" width="33.42578125" bestFit="1" customWidth="1"/>
    <col min="11" max="11" width="12" bestFit="1" customWidth="1"/>
    <col min="12" max="12" width="20.28515625" bestFit="1" customWidth="1"/>
    <col min="13" max="13" width="19.42578125" bestFit="1" customWidth="1"/>
    <col min="14" max="14" width="18.140625" bestFit="1" customWidth="1"/>
    <col min="15" max="15" width="15.28515625" bestFit="1" customWidth="1"/>
    <col min="17" max="17" width="21.140625" bestFit="1" customWidth="1"/>
    <col min="18" max="18" width="9.85546875" bestFit="1" customWidth="1"/>
  </cols>
  <sheetData>
    <row r="4" spans="8:18" x14ac:dyDescent="0.25">
      <c r="H4" s="43" t="s">
        <v>458</v>
      </c>
      <c r="I4" s="43"/>
      <c r="J4" s="43"/>
      <c r="K4" s="43"/>
    </row>
    <row r="5" spans="8:18" x14ac:dyDescent="0.25">
      <c r="H5" t="s">
        <v>456</v>
      </c>
      <c r="I5" t="s">
        <v>479</v>
      </c>
      <c r="J5" t="s">
        <v>478</v>
      </c>
      <c r="K5" t="s">
        <v>431</v>
      </c>
      <c r="L5" t="s">
        <v>432</v>
      </c>
      <c r="M5" t="s">
        <v>492</v>
      </c>
      <c r="N5" t="s">
        <v>493</v>
      </c>
      <c r="O5" t="s">
        <v>494</v>
      </c>
      <c r="P5" t="s">
        <v>495</v>
      </c>
      <c r="Q5" t="s">
        <v>441</v>
      </c>
      <c r="R5" t="s">
        <v>447</v>
      </c>
    </row>
    <row r="6" spans="8:18" x14ac:dyDescent="0.25">
      <c r="H6">
        <v>0</v>
      </c>
      <c r="I6">
        <v>0</v>
      </c>
      <c r="J6">
        <v>0</v>
      </c>
      <c r="K6">
        <v>0</v>
      </c>
      <c r="L6">
        <v>0</v>
      </c>
      <c r="M6">
        <v>2140</v>
      </c>
      <c r="N6">
        <v>107000</v>
      </c>
      <c r="O6">
        <v>104860</v>
      </c>
      <c r="P6">
        <v>46140.503105787036</v>
      </c>
      <c r="Q6" t="s">
        <v>497</v>
      </c>
    </row>
    <row r="7" spans="8:18" x14ac:dyDescent="0.25">
      <c r="H7" t="s">
        <v>496</v>
      </c>
      <c r="I7">
        <v>9041812025</v>
      </c>
      <c r="J7" t="s">
        <v>491</v>
      </c>
      <c r="K7">
        <v>0</v>
      </c>
      <c r="L7">
        <v>0</v>
      </c>
      <c r="M7" t="e">
        <v>#REF!</v>
      </c>
      <c r="N7">
        <v>3275</v>
      </c>
      <c r="O7">
        <v>163750</v>
      </c>
      <c r="P7">
        <v>160475</v>
      </c>
      <c r="Q7">
        <v>46140.500889120369</v>
      </c>
      <c r="R7" t="s">
        <v>497</v>
      </c>
    </row>
    <row r="13" spans="8:18" x14ac:dyDescent="0.25">
      <c r="Q13" s="21"/>
    </row>
    <row r="14" spans="8:18" x14ac:dyDescent="0.25">
      <c r="Q14" s="21"/>
    </row>
    <row r="15" spans="8:18" x14ac:dyDescent="0.25">
      <c r="Q15" s="21"/>
    </row>
    <row r="16" spans="8:18" x14ac:dyDescent="0.25">
      <c r="H16" t="s">
        <v>483</v>
      </c>
    </row>
  </sheetData>
  <mergeCells count="1">
    <mergeCell ref="H4:K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F5F589-80CB-4C85-8040-E2DB57DEB8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Aisha's week one assignment</vt:lpstr>
      <vt:lpstr>Table1</vt:lpstr>
      <vt:lpstr>EXCEL AUTOMATION</vt:lpstr>
      <vt:lpstr>SALES RECORD</vt:lpstr>
      <vt:lpstr>FORM</vt:lpstr>
      <vt:lpstr>DATABASE 4 FORM</vt:lpstr>
      <vt:lpstr>SALES FORM FOR MULTIPLE PRD</vt:lpstr>
      <vt:lpstr>DATABASE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Aisha Abdulkareem</dc:creator>
  <cp:lastModifiedBy>Aisha Abdulkareem</cp:lastModifiedBy>
  <dcterms:created xsi:type="dcterms:W3CDTF">2026-04-18T15:59:51Z</dcterms:created>
  <dcterms:modified xsi:type="dcterms:W3CDTF">2026-05-11T11:17:02Z</dcterms:modified>
</cp:coreProperties>
</file>